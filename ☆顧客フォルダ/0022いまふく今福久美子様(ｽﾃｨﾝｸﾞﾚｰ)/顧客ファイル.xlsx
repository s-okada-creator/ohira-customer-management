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22いまふく今福久美子様(ｽﾃｨﾝｸﾞﾚｰ)/"/>
    </mc:Choice>
  </mc:AlternateContent>
  <xr:revisionPtr revIDLastSave="39" documentId="13_ncr:1_{68D8FAAB-9449-4688-A93A-2F5E93382682}" xr6:coauthVersionLast="47" xr6:coauthVersionMax="47" xr10:uidLastSave="{6390337A-20EA-4BFD-AB1F-F7F3875B42F9}"/>
  <bookViews>
    <workbookView xWindow="9420" yWindow="285" windowWidth="1113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<sst xmlns="http://schemas.openxmlformats.org/spreadsheetml/2006/main" count="37" uniqueCount="37">
  <si>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</si>
  <si>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</si>
  <si>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</si>
  <si>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</si>
  <si>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</si>
  <si>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</si>
  <si>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</si>
  <si>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</si>
  <si>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</si>
  <si>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</si>
  <si>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</si>
  <si>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</si>
  <si>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</si>
  <si>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</si>
  <si>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</si>
  <si>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</si>
  <si>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</si>
  <si>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</si>
  <si>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</si>
  <si>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</si>
  <si>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</si>
  <si>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</si>
  <si>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</si>
  <si>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0022</t>
    <phoneticPr fontId="1"/>
  </si>
  <si>
    <t>今福　久美子</t>
    <rPh sb="0" eb="2">
      <t>イマフク</t>
    </rPh>
    <rPh sb="3" eb="6">
      <t>クミコ</t>
    </rPh>
    <phoneticPr fontId="1"/>
  </si>
  <si>
    <t>いまふくくみこ</t>
    <phoneticPr fontId="1"/>
  </si>
  <si>
    <t>750-0076</t>
    <phoneticPr fontId="1"/>
  </si>
  <si>
    <t>山口県下関市彦島弟子待町</t>
    <rPh sb="0" eb="12">
      <t>750-0076</t>
    </rPh>
    <phoneticPr fontId="1"/>
  </si>
  <si>
    <t>2丁目11-34</t>
    <rPh sb="1" eb="3">
      <t>チョウメ</t>
    </rPh>
    <phoneticPr fontId="1"/>
  </si>
  <si>
    <t>大平英明</t>
    <rPh sb="0" eb="2">
      <t>オオヒラ</t>
    </rPh>
    <rPh sb="2" eb="4">
      <t>ヒデアキ</t>
    </rPh>
    <phoneticPr fontId="1"/>
  </si>
  <si>
    <t>スズキスペーシアカスタム</t>
    <phoneticPr fontId="1"/>
  </si>
  <si>
    <t>下関583ほ213</t>
    <rPh sb="0" eb="2">
      <t>シモノセキ</t>
    </rPh>
    <phoneticPr fontId="1"/>
  </si>
  <si>
    <t>MK53S-969632</t>
    <phoneticPr fontId="1"/>
  </si>
  <si>
    <t>19042</t>
    <phoneticPr fontId="1"/>
  </si>
  <si>
    <t>0021</t>
    <phoneticPr fontId="1"/>
  </si>
  <si>
    <t>R4.5</t>
    <phoneticPr fontId="1"/>
  </si>
  <si>
    <t>080-359-5309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</si>
</sst>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57" fontId="0" fillId="0" borderId="1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5" t="s">
        <v>15</v>
      </c>
      <c r="B1" s="25"/>
      <c r="C1" s="25"/>
      <c r="D1" s="25"/>
    </row>
    <row r="2" spans="1:4" x14ac:dyDescent="0.4">
      <c r="A2" s="12" t="s">
        <v>0</v>
      </c>
      <c r="B2" s="7" t="s">
        <v>23</v>
      </c>
      <c r="C2" s="12" t="s">
        <v>10</v>
      </c>
      <c r="D2" s="2"/>
    </row>
    <row r="3" spans="1:4" x14ac:dyDescent="0.4">
      <c r="A3" s="13" t="s">
        <v>1</v>
      </c>
      <c r="B3" s="8" t="s">
        <v>24</v>
      </c>
      <c r="C3" s="13" t="s">
        <v>11</v>
      </c>
      <c r="D3" s="3"/>
    </row>
    <row r="4" spans="1:4" x14ac:dyDescent="0.4">
      <c r="A4" s="13" t="s">
        <v>2</v>
      </c>
      <c r="B4" s="8" t="s">
        <v>25</v>
      </c>
      <c r="C4" s="13" t="s">
        <v>18</v>
      </c>
      <c r="D4" s="3" t="s">
        <v>30</v>
      </c>
    </row>
    <row r="5" spans="1:4" x14ac:dyDescent="0.4">
      <c r="A5" s="13" t="s">
        <v>14</v>
      </c>
      <c r="B5" s="8" t="s">
        <v>26</v>
      </c>
      <c r="C5" s="13" t="s">
        <v>20</v>
      </c>
      <c r="D5" s="19" t="s">
        <v>31</v>
      </c>
    </row>
    <row r="6" spans="1:4" x14ac:dyDescent="0.4">
      <c r="A6" s="13" t="s">
        <v>3</v>
      </c>
      <c r="B6" s="8" t="s">
        <v>27</v>
      </c>
      <c r="C6" s="18" t="s">
        <v>22</v>
      </c>
      <c r="D6" s="3" t="s">
        <v>32</v>
      </c>
    </row>
    <row r="7" spans="1:4" x14ac:dyDescent="0.4">
      <c r="A7" s="13" t="s">
        <v>4</v>
      </c>
      <c r="B7" s="9" t="s">
        <v>28</v>
      </c>
      <c r="C7" s="18" t="s">
        <v>21</v>
      </c>
      <c r="D7" s="21" t="s">
        <v>33</v>
      </c>
    </row>
    <row r="8" spans="1:4" x14ac:dyDescent="0.4">
      <c r="A8" s="13" t="s">
        <v>5</v>
      </c>
      <c r="B8" s="8" t="s">
        <v>36</v>
      </c>
      <c r="C8" s="18" t="s">
        <v>19</v>
      </c>
      <c r="D8" s="20" t="s">
        <v>34</v>
      </c>
    </row>
    <row r="9" spans="1:4" x14ac:dyDescent="0.4">
      <c r="A9" s="13" t="s">
        <v>6</v>
      </c>
      <c r="B9" s="8"/>
      <c r="C9" s="14" t="s">
        <v>16</v>
      </c>
      <c r="D9" s="6" t="s">
        <v>35</v>
      </c>
    </row>
    <row r="10" spans="1:4" x14ac:dyDescent="0.4">
      <c r="A10" s="16" t="s">
        <v>7</v>
      </c>
      <c r="B10" s="10"/>
      <c r="C10" s="13" t="s">
        <v>12</v>
      </c>
      <c r="D10" s="5">
        <v>46533</v>
      </c>
    </row>
    <row r="11" spans="1:4" x14ac:dyDescent="0.4">
      <c r="A11" s="13" t="s">
        <v>8</v>
      </c>
      <c r="B11" s="10"/>
      <c r="C11" s="13" t="s">
        <v>13</v>
      </c>
      <c r="D11" s="26"/>
    </row>
    <row r="12" spans="1:4" ht="19.5" thickBot="1" x14ac:dyDescent="0.45">
      <c r="A12" s="17" t="s">
        <v>9</v>
      </c>
      <c r="B12" s="11"/>
      <c r="C12" s="15" t="s">
        <v>17</v>
      </c>
      <c r="D12" s="4" t="s">
        <v>29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selection activeCell="B6" sqref="B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2" customFormat="1" ht="18" x14ac:dyDescent="0.4">
      <c r="A1" s="22" t="str">
        <f>顧客名簿!A2</f>
        <v>コード№</v>
      </c>
      <c r="B1" s="22" t="str">
        <f>顧客名簿!A3</f>
        <v>名　前</v>
      </c>
      <c r="C1" s="22" t="str">
        <f>顧客名簿!A4</f>
        <v>ふりがな</v>
      </c>
      <c r="D1" s="22" t="str">
        <f>顧客名簿!A5</f>
        <v>自宅郵便番号</v>
      </c>
      <c r="E1" s="22" t="str">
        <f>顧客名簿!A6</f>
        <v>自宅住所1</v>
      </c>
      <c r="F1" s="22" t="str">
        <f>顧客名簿!A7</f>
        <v>自宅住所2</v>
      </c>
      <c r="G1" s="22" t="str">
        <f>顧客名簿!A8</f>
        <v>携帯番号</v>
      </c>
      <c r="H1" s="22" t="str">
        <f>顧客名簿!A9</f>
        <v>自宅電話番号</v>
      </c>
      <c r="I1" s="22" t="str">
        <f>顧客名簿!A10</f>
        <v>会社名</v>
      </c>
      <c r="J1" s="22" t="str">
        <f>顧客名簿!A11</f>
        <v>会社郵便番号</v>
      </c>
      <c r="K1" s="22" t="str">
        <f>顧客名簿!A12</f>
        <v>会社住所1</v>
      </c>
      <c r="L1" s="22" t="str">
        <f>顧客名簿!C2</f>
        <v>会社住所2</v>
      </c>
      <c r="M1" s="22" t="str">
        <f>顧客名簿!C3</f>
        <v>会社電話番号</v>
      </c>
      <c r="N1" s="22" t="str">
        <f>顧客名簿!C4</f>
        <v>車　名</v>
      </c>
      <c r="O1" s="22" t="str">
        <f>顧客名簿!C5</f>
        <v>車両ナンバー</v>
      </c>
      <c r="P1" s="22" t="str">
        <f>顧客名簿!C6</f>
        <v>車台番号</v>
      </c>
      <c r="Q1" s="22" t="str">
        <f>顧客名簿!C7</f>
        <v>型式・年式番号</v>
      </c>
      <c r="R1" s="22" t="str">
        <f>顧客名簿!C8</f>
        <v>類別番号</v>
      </c>
      <c r="S1" s="22" t="str">
        <f>顧客名簿!C9</f>
        <v>初年度</v>
      </c>
      <c r="T1" s="22" t="str">
        <f>顧客名簿!C10</f>
        <v>次回車検満期日</v>
      </c>
      <c r="U1" s="22" t="str">
        <f>顧客名簿!C11</f>
        <v>紹介者</v>
      </c>
      <c r="V1" s="22" t="str">
        <f>顧客名簿!C12</f>
        <v>担当者</v>
      </c>
    </row>
    <row r="2" spans="1:22" x14ac:dyDescent="0.4">
      <c r="A2" t="str">
        <f>IF(顧客名簿!B2="","",顧客名簿!B2)</f>
        <v>0022</v>
      </c>
      <c r="B2" t="str">
        <f>IF(顧客名簿!B3="","",顧客名簿!B3)</f>
        <v>今福　久美子</v>
      </c>
      <c r="C2" t="str">
        <f>IF(顧客名簿!B4="","",顧客名簿!B4)</f>
        <v>いまふくくみこ</v>
      </c>
      <c r="D2" t="str">
        <f>IF(顧客名簿!B5="","",顧客名簿!B5)</f>
        <v>750-0076</v>
      </c>
      <c r="E2" t="str">
        <f>IF(顧客名簿!B6="","",顧客名簿!B6)</f>
        <v>山口県下関市彦島弟子待町</v>
      </c>
      <c r="F2" t="str">
        <f>IF(顧客名簿!B7="","",顧客名簿!B7)</f>
        <v>2丁目11-34</v>
      </c>
      <c r="G2" t="str">
        <f>IF(顧客名簿!B8="","",顧客名簿!B8)</f>
        <v>080-359-5309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スズキスペーシアカスタム</v>
      </c>
      <c r="O2" t="str">
        <f>IF(顧客名簿!D5="","",顧客名簿!D5)</f>
        <v>下関583ほ213</v>
      </c>
      <c r="P2" t="str">
        <f>IF(顧客名簿!D6="","",顧客名簿!D6)</f>
        <v>MK53S-969632</v>
      </c>
      <c r="Q2" t="str">
        <f>IF(顧客名簿!D7="","",顧客名簿!D7)</f>
        <v>19042</v>
      </c>
      <c r="R2" t="str">
        <f>IF(顧客名簿!D8="","",顧客名簿!D8)</f>
        <v>0021</v>
      </c>
      <c r="S2" t="str">
        <f>IF(顧客名簿!D9="","",顧客名簿!D9)</f>
        <v>R4.5</v>
      </c>
      <c r="T2" s="24">
        <f>IF(顧客名簿!D10="","",顧客名簿!D10)</f>
        <v>46533</v>
      </c>
      <c r="U2" s="23" t="str">
        <f>IF(顧客名簿!D11="","",顧客名簿!D11)</f>
        <v/>
      </c>
      <c r="V2" s="23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2025-06-03T01:31:53Z</dcterms:modified>
</cp:coreProperties>
</file>