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36いしまる石丸蓮様(ｸﾗｳﾝ)/"/>
    </mc:Choice>
  </mc:AlternateContent>
  <xr:revisionPtr revIDLastSave="58" documentId="13_ncr:1_{2162476F-CA24-49B5-8D7A-4B7C6B7A7835}" xr6:coauthVersionLast="47" xr6:coauthVersionMax="47" xr10:uidLastSave="{87975E2C-EC03-4E10-BBB8-1267E16AD37A}"/>
  <bookViews>
    <workbookView xWindow="990" yWindow="405" windowWidth="969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<sst xmlns="http://schemas.openxmlformats.org/spreadsheetml/2006/main" count="37" uniqueCount="37">
  <si>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</si>
  <si>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</si>
  <si>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</si>
  <si>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</si>
  <si>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</si>
  <si>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</si>
  <si>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</si>
  <si>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</si>
  <si>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</si>
  <si>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</si>
  <si>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</si>
  <si>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</si>
  <si>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</si>
  <si>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</si>
  <si>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</si>
  <si>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</si>
  <si>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</si>
  <si>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</si>
  <si>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</si>
  <si>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</si>
  <si>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</si>
  <si>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</si>
  <si>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</si>
  <si>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0036</t>
    <phoneticPr fontId="1"/>
  </si>
  <si>
    <t>石丸　蓮</t>
    <rPh sb="0" eb="2">
      <t>イシマル</t>
    </rPh>
    <rPh sb="3" eb="4">
      <t>レン</t>
    </rPh>
    <phoneticPr fontId="1"/>
  </si>
  <si>
    <t>いしまるれん</t>
    <phoneticPr fontId="1"/>
  </si>
  <si>
    <t>山口県下関市熊野町</t>
    <rPh sb="0" eb="9">
      <t>751-0852</t>
    </rPh>
    <phoneticPr fontId="1"/>
  </si>
  <si>
    <t>751-0852</t>
    <phoneticPr fontId="1"/>
  </si>
  <si>
    <t>2丁目9-6</t>
    <rPh sb="1" eb="3">
      <t>チョウメ</t>
    </rPh>
    <phoneticPr fontId="1"/>
  </si>
  <si>
    <t>080-3897-3638</t>
    <phoneticPr fontId="1"/>
  </si>
  <si>
    <t>石丸工業(自営業)</t>
    <rPh sb="0" eb="2">
      <t>イシマル</t>
    </rPh>
    <rPh sb="2" eb="4">
      <t>コウギョウ</t>
    </rPh>
    <rPh sb="5" eb="8">
      <t>ジエイギョウ</t>
    </rPh>
    <phoneticPr fontId="1"/>
  </si>
  <si>
    <t>トヨタクラウン</t>
    <phoneticPr fontId="1"/>
  </si>
  <si>
    <t>下関330そ140</t>
    <rPh sb="0" eb="2">
      <t>シモノセキ</t>
    </rPh>
    <phoneticPr fontId="1"/>
  </si>
  <si>
    <t>GRS210-6000282</t>
    <phoneticPr fontId="1"/>
  </si>
  <si>
    <t>17490</t>
    <phoneticPr fontId="1"/>
  </si>
  <si>
    <t>0003</t>
    <phoneticPr fontId="1"/>
  </si>
  <si>
    <t>H25.2(H18.2)？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</si>
</sst>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0" sqref="D10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31</v>
      </c>
    </row>
    <row r="5" spans="1:4" x14ac:dyDescent="0.4">
      <c r="A5" s="12" t="s">
        <v>14</v>
      </c>
      <c r="B5" s="8" t="s">
        <v>27</v>
      </c>
      <c r="C5" s="12" t="s">
        <v>20</v>
      </c>
      <c r="D5" s="18" t="s">
        <v>32</v>
      </c>
    </row>
    <row r="6" spans="1:4" x14ac:dyDescent="0.4">
      <c r="A6" s="12" t="s">
        <v>3</v>
      </c>
      <c r="B6" s="8" t="s">
        <v>26</v>
      </c>
      <c r="C6" s="17" t="s">
        <v>21</v>
      </c>
      <c r="D6" s="3" t="s">
        <v>33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34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35</v>
      </c>
    </row>
    <row r="9" spans="1:4" x14ac:dyDescent="0.4">
      <c r="A9" s="12" t="s">
        <v>6</v>
      </c>
      <c r="B9" s="8"/>
      <c r="C9" s="13" t="s">
        <v>16</v>
      </c>
      <c r="D9" s="6" t="s">
        <v>36</v>
      </c>
    </row>
    <row r="10" spans="1:4" x14ac:dyDescent="0.4">
      <c r="A10" s="15" t="s">
        <v>7</v>
      </c>
      <c r="B10" s="10" t="s">
        <v>30</v>
      </c>
      <c r="C10" s="12" t="s">
        <v>12</v>
      </c>
      <c r="D10" s="5">
        <v>45941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0036</v>
      </c>
      <c r="B2" t="str">
        <f>IF(顧客名簿!B3="","",顧客名簿!B3)</f>
        <v>石丸　蓮</v>
      </c>
      <c r="C2" t="str">
        <f>IF(顧客名簿!B4="","",顧客名簿!B4)</f>
        <v>いしまるれん</v>
      </c>
      <c r="D2" t="str">
        <f>IF(顧客名簿!B5="","",顧客名簿!B5)</f>
        <v>751-0852</v>
      </c>
      <c r="E2" t="str">
        <f>IF(顧客名簿!B6="","",顧客名簿!B6)</f>
        <v>山口県下関市熊野町</v>
      </c>
      <c r="F2" t="str">
        <f>IF(顧客名簿!B7="","",顧客名簿!B7)</f>
        <v>2丁目9-6</v>
      </c>
      <c r="G2" t="str">
        <f>IF(顧客名簿!B8="","",顧客名簿!B8)</f>
        <v>080-3897-3638</v>
      </c>
      <c r="H2" t="str">
        <f>IF(顧客名簿!B9="","",顧客名簿!B9)</f>
        <v/>
      </c>
      <c r="I2" t="str">
        <f>IF(顧客名簿!B10="","",顧客名簿!B10)</f>
        <v>石丸工業(自営業)</v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トヨタクラウン</v>
      </c>
      <c r="O2" t="str">
        <f>IF(顧客名簿!D5="","",顧客名簿!D5)</f>
        <v>下関330そ140</v>
      </c>
      <c r="P2" t="str">
        <f>IF(顧客名簿!D6="","",顧客名簿!D6)</f>
        <v>GRS210-6000282</v>
      </c>
      <c r="Q2" t="str">
        <f>IF(顧客名簿!D7="","",顧客名簿!D7)</f>
        <v>17490</v>
      </c>
      <c r="R2" t="str">
        <f>IF(顧客名簿!D8="","",顧客名簿!D8)</f>
        <v>0003</v>
      </c>
      <c r="S2" t="str">
        <f>IF(顧客名簿!D9="","",顧客名簿!D9)</f>
        <v>H25.2(H18.2)？</v>
      </c>
      <c r="T2" s="21">
        <f>IF(顧客名簿!D10="","",顧客名簿!D10)</f>
        <v>45941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2025-06-20T05:24:12Z</dcterms:modified>
</cp:coreProperties>
</file>