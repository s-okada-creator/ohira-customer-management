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56さかた酒田公勝様(ﾐﾗｲｰｽ)/"/>
    </mc:Choice>
  </mc:AlternateContent>
  <xr:revisionPtr revIDLastSave="59" documentId="13_ncr:1_{2162476F-CA24-49B5-8D7A-4B7C6B7A7835}" xr6:coauthVersionLast="47" xr6:coauthVersionMax="47" xr10:uidLastSave="{061982E8-8A93-4ABA-AB50-0DC1F133637E}"/>
  <bookViews>
    <workbookView xWindow="15" yWindow="115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<sst xmlns="http://schemas.openxmlformats.org/spreadsheetml/2006/main" count="36" uniqueCount="36">
  <si>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</si>
  <si>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</si>
  <si>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</si>
  <si>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</si>
  <si>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</si>
  <si>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</si>
  <si>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</si>
  <si>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</si>
  <si>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</si>
  <si>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</si>
  <si>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</si>
  <si>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</si>
  <si>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</si>
  <si>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</si>
  <si>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</si>
  <si>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</si>
  <si>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</si>
  <si>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</si>
  <si>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</si>
  <si>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</si>
  <si>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</si>
  <si>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</si>
  <si>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</si>
  <si>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0156</t>
    <phoneticPr fontId="1"/>
  </si>
  <si>
    <t>酒田　公勝</t>
    <rPh sb="0" eb="2">
      <t>サカタ</t>
    </rPh>
    <rPh sb="3" eb="5">
      <t>キミカツ</t>
    </rPh>
    <phoneticPr fontId="1"/>
  </si>
  <si>
    <t>さかたきみかつ</t>
    <phoneticPr fontId="1"/>
  </si>
  <si>
    <t>750-0003</t>
    <phoneticPr fontId="1"/>
  </si>
  <si>
    <t>山口県下関市阿弥陀寺町</t>
    <rPh sb="0" eb="11">
      <t>750-0003</t>
    </rPh>
    <phoneticPr fontId="1"/>
  </si>
  <si>
    <t>1-18</t>
    <phoneticPr fontId="1"/>
  </si>
  <si>
    <t>下関580く7282</t>
    <rPh sb="0" eb="2">
      <t>シモノセキ</t>
    </rPh>
    <phoneticPr fontId="1"/>
  </si>
  <si>
    <t>LA300S-127851</t>
    <phoneticPr fontId="1"/>
  </si>
  <si>
    <t>H26.10</t>
    <phoneticPr fontId="1"/>
  </si>
  <si>
    <t>0010</t>
    <phoneticPr fontId="1"/>
  </si>
  <si>
    <t>16986</t>
    <phoneticPr fontId="1"/>
  </si>
  <si>
    <t>ダイハツミライース</t>
    <phoneticPr fontId="1"/>
  </si>
  <si>
    <t>大平英明</t>
    <rPh sb="0" eb="4">
      <t>オオヒラヒデアキ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</si>
</sst>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3" sqref="D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34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29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30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/>
      <c r="C8" s="17" t="s">
        <v>19</v>
      </c>
      <c r="D8" s="23" t="s">
        <v>32</v>
      </c>
    </row>
    <row r="9" spans="1:4" x14ac:dyDescent="0.4">
      <c r="A9" s="12" t="s">
        <v>6</v>
      </c>
      <c r="B9" s="8"/>
      <c r="C9" s="13" t="s">
        <v>16</v>
      </c>
      <c r="D9" s="6" t="s">
        <v>31</v>
      </c>
    </row>
    <row r="10" spans="1:4" x14ac:dyDescent="0.4">
      <c r="A10" s="15" t="s">
        <v>7</v>
      </c>
      <c r="B10" s="10"/>
      <c r="C10" s="12" t="s">
        <v>12</v>
      </c>
      <c r="D10" s="5">
        <v>45937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35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0156</v>
      </c>
      <c r="B2" t="str">
        <f>IF(顧客名簿!B3="","",顧客名簿!B3)</f>
        <v>酒田　公勝</v>
      </c>
      <c r="C2" t="str">
        <f>IF(顧客名簿!B4="","",顧客名簿!B4)</f>
        <v>さかたきみかつ</v>
      </c>
      <c r="D2" t="str">
        <f>IF(顧客名簿!B5="","",顧客名簿!B5)</f>
        <v>750-0003</v>
      </c>
      <c r="E2" t="str">
        <f>IF(顧客名簿!B6="","",顧客名簿!B6)</f>
        <v>山口県下関市阿弥陀寺町</v>
      </c>
      <c r="F2" t="str">
        <f>IF(顧客名簿!B7="","",顧客名簿!B7)</f>
        <v>1-18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ダイハツミライース</v>
      </c>
      <c r="O2" t="str">
        <f>IF(顧客名簿!D5="","",顧客名簿!D5)</f>
        <v>下関580く7282</v>
      </c>
      <c r="P2" t="str">
        <f>IF(顧客名簿!D6="","",顧客名簿!D6)</f>
        <v>LA300S-127851</v>
      </c>
      <c r="Q2" t="str">
        <f>IF(顧客名簿!D7="","",顧客名簿!D7)</f>
        <v>16986</v>
      </c>
      <c r="R2" t="str">
        <f>IF(顧客名簿!D8="","",顧客名簿!D8)</f>
        <v>0010</v>
      </c>
      <c r="S2" t="str">
        <f>IF(顧客名簿!D9="","",顧客名簿!D9)</f>
        <v>H26.10</v>
      </c>
      <c r="T2" s="21">
        <f>IF(顧客名簿!D10="","",顧客名簿!D10)</f>
        <v>45937</v>
      </c>
      <c r="U2" s="20" t="str">
        <f>IF(顧客名簿!D11="","",顧客名簿!D11)</f>
        <v/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2024-10-17T08:45:02Z</dcterms:modified>
</cp:coreProperties>
</file>