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006あらき荒木重義様(ｸﾗｳﾝ)/"/>
    </mc:Choice>
  </mc:AlternateContent>
  <xr:revisionPtr revIDLastSave="3" documentId="13_ncr:1_{99CE933C-1290-4392-97FC-FE9DA9866B87}" xr6:coauthVersionLast="47" xr6:coauthVersionMax="47" xr10:uidLastSave="{F1D3199D-E900-4D70-9460-269D334F3CCC}"/>
  <bookViews>
    <workbookView xWindow="780" yWindow="765" windowWidth="9690" windowHeight="1050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<sst xmlns="http://schemas.openxmlformats.org/spreadsheetml/2006/main" count="32" uniqueCount="32">
  <si>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</si>
  <si>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</si>
  <si>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</si>
  <si>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</si>
  <si>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</si>
  <si>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</si>
  <si>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</si>
  <si>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</si>
  <si>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</si>
  <si>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</si>
  <si>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</si>
  <si>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</si>
  <si>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</si>
  <si>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</si>
  <si>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</si>
  <si>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</si>
  <si>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</si>
  <si>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</si>
  <si>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</si>
  <si>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</si>
  <si>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</si>
  <si>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0006</t>
    <phoneticPr fontId="1"/>
  </si>
  <si>
    <t>荒木重義</t>
    <rPh sb="0" eb="2">
      <t>アラキ</t>
    </rPh>
    <rPh sb="2" eb="4">
      <t>シゲヨシ</t>
    </rPh>
    <phoneticPr fontId="1"/>
  </si>
  <si>
    <t>あらきしげよし</t>
    <phoneticPr fontId="1"/>
  </si>
  <si>
    <t>800-0047</t>
    <phoneticPr fontId="1"/>
  </si>
  <si>
    <t>福岡県北九州市門司区藤松</t>
    <rPh sb="0" eb="12">
      <t>800-0047</t>
    </rPh>
    <phoneticPr fontId="1"/>
  </si>
  <si>
    <t>2丁目10-5</t>
    <rPh sb="1" eb="3">
      <t>チョウメ</t>
    </rPh>
    <phoneticPr fontId="1"/>
  </si>
  <si>
    <t>090-2084-2570</t>
    <phoneticPr fontId="1"/>
  </si>
  <si>
    <t>トヨタ　クラウン</t>
    <phoneticPr fontId="1"/>
  </si>
  <si>
    <t>GRS214</t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</si>
  <si>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</si>
  <si>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車台番号</t>
    <rPh sb="0" eb="2">
      <t>シャダイ</t>
    </rPh>
    <rPh sb="2" eb="4">
      <t>バンゴウ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</si>
</sst>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0" fillId="0" borderId="9" xfId="0" applyBorder="1">
      <alignment vertical="center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43"/>
  <sheetViews>
    <sheetView tabSelected="1" workbookViewId="0">
      <selection activeCell="B8" sqref="B8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6" t="s">
        <v>15</v>
      </c>
      <c r="B1" s="26"/>
      <c r="C1" s="26"/>
      <c r="D1" s="26"/>
    </row>
    <row r="2" spans="1:4" x14ac:dyDescent="0.4">
      <c r="A2" s="12" t="s">
        <v>0</v>
      </c>
      <c r="B2" s="7" t="s">
        <v>21</v>
      </c>
      <c r="C2" s="12" t="s">
        <v>10</v>
      </c>
      <c r="D2" s="2"/>
    </row>
    <row r="3" spans="1:4" x14ac:dyDescent="0.4">
      <c r="A3" s="13" t="s">
        <v>1</v>
      </c>
      <c r="B3" s="8" t="s">
        <v>22</v>
      </c>
      <c r="C3" s="13" t="s">
        <v>11</v>
      </c>
      <c r="D3" s="3"/>
    </row>
    <row r="4" spans="1:4" x14ac:dyDescent="0.4">
      <c r="A4" s="13" t="s">
        <v>2</v>
      </c>
      <c r="B4" s="8" t="s">
        <v>23</v>
      </c>
      <c r="C4" s="13" t="s">
        <v>18</v>
      </c>
      <c r="D4" s="3" t="s">
        <v>28</v>
      </c>
    </row>
    <row r="5" spans="1:4" x14ac:dyDescent="0.4">
      <c r="A5" s="13" t="s">
        <v>14</v>
      </c>
      <c r="B5" s="8" t="s">
        <v>24</v>
      </c>
      <c r="C5" s="13" t="s">
        <v>20</v>
      </c>
      <c r="D5" s="19"/>
    </row>
    <row r="6" spans="1:4" x14ac:dyDescent="0.4">
      <c r="A6" s="13" t="s">
        <v>3</v>
      </c>
      <c r="B6" s="8" t="s">
        <v>25</v>
      </c>
      <c r="C6" s="18" t="s">
        <v>31</v>
      </c>
      <c r="D6" s="3" t="s">
        <v>29</v>
      </c>
    </row>
    <row r="7" spans="1:4" x14ac:dyDescent="0.4">
      <c r="A7" s="13" t="s">
        <v>4</v>
      </c>
      <c r="B7" s="9" t="s">
        <v>26</v>
      </c>
      <c r="C7" s="18" t="s">
        <v>30</v>
      </c>
      <c r="D7" s="23"/>
    </row>
    <row r="8" spans="1:4" x14ac:dyDescent="0.4">
      <c r="A8" s="13" t="s">
        <v>5</v>
      </c>
      <c r="B8" s="8" t="s">
        <v>27</v>
      </c>
      <c r="C8" s="18" t="s">
        <v>19</v>
      </c>
      <c r="D8" s="24"/>
    </row>
    <row r="9" spans="1:4" x14ac:dyDescent="0.4">
      <c r="A9" s="13" t="s">
        <v>6</v>
      </c>
      <c r="B9" s="8"/>
      <c r="C9" s="14" t="s">
        <v>16</v>
      </c>
      <c r="D9" s="6"/>
    </row>
    <row r="10" spans="1:4" x14ac:dyDescent="0.4">
      <c r="A10" s="16" t="s">
        <v>7</v>
      </c>
      <c r="B10" s="10"/>
      <c r="C10" s="13" t="s">
        <v>12</v>
      </c>
      <c r="D10" s="5"/>
    </row>
    <row r="11" spans="1:4" x14ac:dyDescent="0.4">
      <c r="A11" s="13" t="s">
        <v>8</v>
      </c>
      <c r="B11" s="10"/>
      <c r="C11" s="13" t="s">
        <v>13</v>
      </c>
      <c r="D11" s="25"/>
    </row>
    <row r="12" spans="1:4" ht="19.5" thickBot="1" x14ac:dyDescent="0.45">
      <c r="A12" s="17" t="s">
        <v>9</v>
      </c>
      <c r="B12" s="11"/>
      <c r="C12" s="15" t="s">
        <v>17</v>
      </c>
      <c r="D12" s="4"/>
    </row>
    <row r="43" ht="25.9" customHeight="1" x14ac:dyDescent="0.4"/>
  </sheetData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selection activeCell="P6" sqref="P6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2.875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20" customFormat="1" ht="18" x14ac:dyDescent="0.4">
      <c r="A1" s="20" t="str">
        <f>顧客名簿!A2</f>
        <v>コード№</v>
      </c>
      <c r="B1" s="20" t="str">
        <f>顧客名簿!A3</f>
        <v>名　前</v>
      </c>
      <c r="C1" s="20" t="str">
        <f>顧客名簿!A4</f>
        <v>ふりがな</v>
      </c>
      <c r="D1" s="20" t="str">
        <f>顧客名簿!A5</f>
        <v>自宅郵便番号</v>
      </c>
      <c r="E1" s="20" t="str">
        <f>顧客名簿!A6</f>
        <v>自宅住所1</v>
      </c>
      <c r="F1" s="20" t="str">
        <f>顧客名簿!A7</f>
        <v>自宅住所2</v>
      </c>
      <c r="G1" s="20" t="str">
        <f>顧客名簿!A8</f>
        <v>携帯番号</v>
      </c>
      <c r="H1" s="20" t="str">
        <f>顧客名簿!A9</f>
        <v>自宅電話番号</v>
      </c>
      <c r="I1" s="20" t="str">
        <f>顧客名簿!A10</f>
        <v>会社名</v>
      </c>
      <c r="J1" s="20" t="str">
        <f>顧客名簿!A11</f>
        <v>会社郵便番号</v>
      </c>
      <c r="K1" s="20" t="str">
        <f>顧客名簿!A12</f>
        <v>会社住所1</v>
      </c>
      <c r="L1" s="20" t="str">
        <f>顧客名簿!C2</f>
        <v>会社住所2</v>
      </c>
      <c r="M1" s="20" t="str">
        <f>顧客名簿!C3</f>
        <v>会社電話番号</v>
      </c>
      <c r="N1" s="20" t="str">
        <f>顧客名簿!C4</f>
        <v>車　名</v>
      </c>
      <c r="O1" s="20" t="str">
        <f>顧客名簿!C5</f>
        <v>車両ナンバー</v>
      </c>
      <c r="P1" s="20" t="str">
        <f>顧客名簿!C6</f>
        <v>車台番号</v>
      </c>
      <c r="Q1" s="20" t="str">
        <f>顧客名簿!C7</f>
        <v>型式・年式番号</v>
      </c>
      <c r="R1" s="20" t="str">
        <f>顧客名簿!C8</f>
        <v>類別番号</v>
      </c>
      <c r="S1" s="20" t="str">
        <f>顧客名簿!C9</f>
        <v>初年度</v>
      </c>
      <c r="T1" s="20" t="str">
        <f>顧客名簿!C10</f>
        <v>次回車検満期日</v>
      </c>
      <c r="U1" s="20" t="str">
        <f>顧客名簿!C11</f>
        <v>紹介者</v>
      </c>
      <c r="V1" s="20" t="str">
        <f>顧客名簿!C12</f>
        <v>担当者</v>
      </c>
    </row>
    <row r="2" spans="1:22" x14ac:dyDescent="0.4">
      <c r="A2" t="str">
        <f>IF(顧客名簿!B2="","",顧客名簿!B2)</f>
        <v>0006</v>
      </c>
      <c r="B2" t="str">
        <f>IF(顧客名簿!B3="","",顧客名簿!B3)</f>
        <v>荒木重義</v>
      </c>
      <c r="C2" t="str">
        <f>IF(顧客名簿!B4="","",顧客名簿!B4)</f>
        <v>あらきしげよし</v>
      </c>
      <c r="D2" t="str">
        <f>IF(顧客名簿!B5="","",顧客名簿!B5)</f>
        <v>800-0047</v>
      </c>
      <c r="E2" t="str">
        <f>IF(顧客名簿!B6="","",顧客名簿!B6)</f>
        <v>福岡県北九州市門司区藤松</v>
      </c>
      <c r="F2" t="str">
        <f>IF(顧客名簿!B7="","",顧客名簿!B7)</f>
        <v>2丁目10-5</v>
      </c>
      <c r="G2" t="str">
        <f>IF(顧客名簿!B8="","",顧客名簿!B8)</f>
        <v>090-2084-2570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トヨタ　クラウン</v>
      </c>
      <c r="O2" t="str">
        <f>IF(顧客名簿!D5="","",顧客名簿!D5)</f>
        <v/>
      </c>
      <c r="P2" t="str">
        <f>IF(顧客名簿!D6="","",顧客名簿!D6)</f>
        <v>GRS214</v>
      </c>
      <c r="Q2" t="str">
        <f>IF(顧客名簿!D7="","",顧客名簿!D7)</f>
        <v/>
      </c>
      <c r="R2" t="str">
        <f>IF(顧客名簿!D8="","",顧客名簿!D8)</f>
        <v/>
      </c>
      <c r="S2" t="str">
        <f>IF(顧客名簿!D9="","",顧客名簿!D9)</f>
        <v/>
      </c>
      <c r="T2" s="22" t="str">
        <f>IF(顧客名簿!D10="","",顧客名簿!D10)</f>
        <v/>
      </c>
      <c r="U2" s="21" t="str">
        <f>IF(顧客名簿!D11="","",顧客名簿!D11)</f>
        <v/>
      </c>
      <c r="V2" s="21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2025-06-20T04:43:26Z</dcterms:modified>
</cp:coreProperties>
</file>