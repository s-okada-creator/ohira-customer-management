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30まつば松葉様(ﾀﾝﾄ・しょうへい紹介)/"/>
    </mc:Choice>
  </mc:AlternateContent>
  <xr:revisionPtr revIDLastSave="62" documentId="13_ncr:1_{2162476F-CA24-49B5-8D7A-4B7C6B7A7835}" xr6:coauthVersionLast="47" xr6:coauthVersionMax="47" xr10:uidLastSave="{1CC73E95-B1B5-48B8-A7BE-EDCE35F8D2A4}"/>
  <bookViews>
    <workbookView xWindow="315" yWindow="8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<sst xmlns="http://schemas.openxmlformats.org/spreadsheetml/2006/main" count="35" uniqueCount="35">
  <si>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</si>
  <si>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</si>
  <si>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</si>
  <si>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</si>
  <si>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</si>
  <si>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</si>
  <si>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</si>
  <si>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</si>
  <si>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</si>
  <si>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</si>
  <si>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</si>
  <si>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</si>
  <si>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</si>
  <si>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</si>
  <si>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</si>
  <si>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</si>
  <si>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</si>
  <si>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</si>
  <si>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</si>
  <si>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</si>
  <si>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</si>
  <si>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</si>
  <si>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</si>
  <si>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0430</t>
    <phoneticPr fontId="1"/>
  </si>
  <si>
    <t>松葉　祐作</t>
    <rPh sb="0" eb="2">
      <t>マツバ</t>
    </rPh>
    <rPh sb="3" eb="5">
      <t>ユウサク</t>
    </rPh>
    <phoneticPr fontId="1"/>
  </si>
  <si>
    <t>まつばゆうさく</t>
    <phoneticPr fontId="1"/>
  </si>
  <si>
    <t>751-0805</t>
    <phoneticPr fontId="1"/>
  </si>
  <si>
    <t>山口県下関市一の宮住吉</t>
    <rPh sb="0" eb="11">
      <t>751-0805</t>
    </rPh>
    <phoneticPr fontId="1"/>
  </si>
  <si>
    <t>３丁目6-60</t>
    <rPh sb="1" eb="3">
      <t>チョウメ</t>
    </rPh>
    <phoneticPr fontId="1"/>
  </si>
  <si>
    <t>080-5752-0844</t>
    <phoneticPr fontId="1"/>
  </si>
  <si>
    <t>ダイハツタント</t>
    <phoneticPr fontId="1"/>
  </si>
  <si>
    <t>L375S-0308287</t>
    <phoneticPr fontId="1"/>
  </si>
  <si>
    <t>16011</t>
    <phoneticPr fontId="1"/>
  </si>
  <si>
    <t>0002</t>
    <phoneticPr fontId="1"/>
  </si>
  <si>
    <t>H22.3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</si>
</sst>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  <xf numFmtId="17" fontId="0" fillId="0" borderId="2" xfId="0" applyNumberFormat="1" applyBorder="1" applyAlignment="1" applyProtection="1">
      <alignment horizontal="left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27">
        <v>11628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5" t="s">
        <v>22</v>
      </c>
      <c r="D7" s="21" t="s">
        <v>32</v>
      </c>
    </row>
    <row r="8" spans="1:4" x14ac:dyDescent="0.4">
      <c r="A8" s="12" t="s">
        <v>5</v>
      </c>
      <c r="B8" s="8" t="s">
        <v>29</v>
      </c>
      <c r="C8" s="17" t="s">
        <v>19</v>
      </c>
      <c r="D8" s="22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3"/>
    </row>
    <row r="12" spans="1:4" ht="19.5" thickBot="1" x14ac:dyDescent="0.45">
      <c r="A12" s="16" t="s">
        <v>9</v>
      </c>
      <c r="B12" s="24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8" customFormat="1" ht="18" x14ac:dyDescent="0.4">
      <c r="A1" s="18" t="str">
        <f>顧客名簿!A2</f>
        <v>コード№</v>
      </c>
      <c r="B1" s="18" t="str">
        <f>顧客名簿!A3</f>
        <v>名　前</v>
      </c>
      <c r="C1" s="18" t="str">
        <f>顧客名簿!A4</f>
        <v>ふりがな</v>
      </c>
      <c r="D1" s="18" t="str">
        <f>顧客名簿!A5</f>
        <v>自宅郵便番号</v>
      </c>
      <c r="E1" s="18" t="str">
        <f>顧客名簿!A6</f>
        <v>自宅住所1</v>
      </c>
      <c r="F1" s="18" t="str">
        <f>顧客名簿!A7</f>
        <v>自宅住所2</v>
      </c>
      <c r="G1" s="18" t="str">
        <f>顧客名簿!A8</f>
        <v>携帯番号</v>
      </c>
      <c r="H1" s="18" t="str">
        <f>顧客名簿!A9</f>
        <v>自宅電話番号</v>
      </c>
      <c r="I1" s="18" t="str">
        <f>顧客名簿!A10</f>
        <v>会社名</v>
      </c>
      <c r="J1" s="18" t="str">
        <f>顧客名簿!A11</f>
        <v>会社郵便番号</v>
      </c>
      <c r="K1" s="18" t="str">
        <f>顧客名簿!A12</f>
        <v>会社住所1</v>
      </c>
      <c r="L1" s="18" t="str">
        <f>顧客名簿!C2</f>
        <v>会社住所2</v>
      </c>
      <c r="M1" s="18" t="str">
        <f>顧客名簿!C3</f>
        <v>会社電話番号</v>
      </c>
      <c r="N1" s="18" t="str">
        <f>顧客名簿!C4</f>
        <v>車　名</v>
      </c>
      <c r="O1" s="18" t="str">
        <f>顧客名簿!C5</f>
        <v>車両ナンバー</v>
      </c>
      <c r="P1" s="18" t="str">
        <f>顧客名簿!C6</f>
        <v>車台番号</v>
      </c>
      <c r="Q1" s="18" t="str">
        <f>顧客名簿!C7</f>
        <v>型式・年式番号</v>
      </c>
      <c r="R1" s="18" t="str">
        <f>顧客名簿!C8</f>
        <v>類別番号</v>
      </c>
      <c r="S1" s="18" t="str">
        <f>顧客名簿!C9</f>
        <v>初年度</v>
      </c>
      <c r="T1" s="18" t="str">
        <f>顧客名簿!C10</f>
        <v>次回車検満期日</v>
      </c>
      <c r="U1" s="18" t="str">
        <f>顧客名簿!C11</f>
        <v>紹介者</v>
      </c>
      <c r="V1" s="18" t="str">
        <f>顧客名簿!C12</f>
        <v>担当者</v>
      </c>
    </row>
    <row r="2" spans="1:22" x14ac:dyDescent="0.4">
      <c r="A2" t="str">
        <f>IF(顧客名簿!B2="","",顧客名簿!B2)</f>
        <v>0430</v>
      </c>
      <c r="B2" t="str">
        <f>IF(顧客名簿!B3="","",顧客名簿!B3)</f>
        <v>松葉　祐作</v>
      </c>
      <c r="C2" t="str">
        <f>IF(顧客名簿!B4="","",顧客名簿!B4)</f>
        <v>まつばゆうさく</v>
      </c>
      <c r="D2" t="str">
        <f>IF(顧客名簿!B5="","",顧客名簿!B5)</f>
        <v>751-0805</v>
      </c>
      <c r="E2" t="str">
        <f>IF(顧客名簿!B6="","",顧客名簿!B6)</f>
        <v>山口県下関市一の宮住吉</v>
      </c>
      <c r="F2" t="str">
        <f>IF(顧客名簿!B7="","",顧客名簿!B7)</f>
        <v>３丁目6-60</v>
      </c>
      <c r="G2" t="str">
        <f>IF(顧客名簿!B8="","",顧客名簿!B8)</f>
        <v>080-5752-0844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>
        <f>IF(顧客名簿!D5="","",顧客名簿!D5)</f>
        <v>11628</v>
      </c>
      <c r="P2" t="str">
        <f>IF(顧客名簿!D6="","",顧客名簿!D6)</f>
        <v>L375S-0308287</v>
      </c>
      <c r="Q2" t="str">
        <f>IF(顧客名簿!D7="","",顧客名簿!D7)</f>
        <v>16011</v>
      </c>
      <c r="R2" t="str">
        <f>IF(顧客名簿!D8="","",顧客名簿!D8)</f>
        <v>0002</v>
      </c>
      <c r="S2" t="str">
        <f>IF(顧客名簿!D9="","",顧客名簿!D9)</f>
        <v>H22.3</v>
      </c>
      <c r="T2" s="20" t="str">
        <f>IF(顧客名簿!D10="","",顧客名簿!D10)</f>
        <v/>
      </c>
      <c r="U2" s="19" t="str">
        <f>IF(顧客名簿!D11="","",顧客名簿!D11)</f>
        <v/>
      </c>
      <c r="V2" s="19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2024-11-29T04:24:55Z</dcterms:modified>
</cp:coreProperties>
</file>