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4あらき荒木浩様(ﾌｨｯﾄ)/"/>
    </mc:Choice>
  </mc:AlternateContent>
  <xr:revisionPtr revIDLastSave="3" documentId="8_{B83A9854-881B-4627-B66E-ABE944F150B1}" xr6:coauthVersionLast="47" xr6:coauthVersionMax="47" xr10:uidLastSave="{71BFE199-A8C0-4B5B-AE96-24A56D53D944}"/>
  <bookViews>
    <workbookView xWindow="1950" yWindow="1020" windowWidth="9690" windowHeight="10500" xr2:uid="{9B95AFF8-F96E-4C75-81D5-FFD8A9D7F20D}"/>
  </bookViews>
  <sheets>
    <sheet name="顧客名簿" sheetId="1" r:id="rId1"/>
    <sheet name="顧客データベース" sheetId="3" r:id="rId2"/>
    <sheet name="見積書" sheetId="4" r:id="rId3"/>
    <sheet name="請求書" sheetId="5" r:id="rId4"/>
    <sheet name="作業内容書" sheetId="6" r:id="rId5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<sst xmlns="http://schemas.openxmlformats.org/spreadsheetml/2006/main" count="38" uniqueCount="38">
  <si>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</si>
  <si>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</si>
  <si>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</si>
  <si>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</si>
  <si>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</si>
  <si>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</si>
  <si>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</si>
  <si>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</si>
  <si>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</si>
  <si>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</si>
  <si>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</si>
  <si>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</si>
  <si>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</si>
  <si>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</si>
  <si>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</si>
  <si>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</si>
  <si>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</si>
  <si>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</si>
  <si>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</si>
  <si>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</si>
  <si>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</si>
  <si>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御見積書</t>
    <rPh sb="0" eb="1">
      <t>オ</t>
    </rPh>
    <rPh sb="1" eb="4">
      <t>ミツモリショ</t>
    </rPh>
    <phoneticPr fontId="1"/>
  </si>
  <si>
    <t>0014</t>
    <phoneticPr fontId="1"/>
  </si>
  <si>
    <t>荒木浩</t>
    <rPh sb="0" eb="2">
      <t>アラキ</t>
    </rPh>
    <rPh sb="2" eb="3">
      <t>ヒロシ</t>
    </rPh>
    <phoneticPr fontId="1"/>
  </si>
  <si>
    <t>あらきひろし</t>
    <phoneticPr fontId="1"/>
  </si>
  <si>
    <t>751-0844</t>
    <phoneticPr fontId="1"/>
  </si>
  <si>
    <t>山口県下関市新垢田西町</t>
    <rPh sb="0" eb="11">
      <t>751-0844</t>
    </rPh>
    <phoneticPr fontId="1"/>
  </si>
  <si>
    <t>4-1-301</t>
    <phoneticPr fontId="1"/>
  </si>
  <si>
    <t>090-4656-6188</t>
    <phoneticPr fontId="1"/>
  </si>
  <si>
    <t>ホンダ　フィット</t>
    <phoneticPr fontId="1"/>
  </si>
  <si>
    <t>下関500た9652</t>
    <rPh sb="0" eb="2">
      <t>シモノセキ</t>
    </rPh>
    <phoneticPr fontId="1"/>
  </si>
  <si>
    <t>GP5-1313132</t>
    <phoneticPr fontId="1"/>
  </si>
  <si>
    <t>17574</t>
    <phoneticPr fontId="1"/>
  </si>
  <si>
    <t>0010</t>
    <phoneticPr fontId="1"/>
  </si>
  <si>
    <t>H29.12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</si>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</sst>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selection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22</v>
      </c>
      <c r="C2" s="12" t="s">
        <v>10</v>
      </c>
      <c r="D2" s="2"/>
    </row>
    <row r="3" spans="1:4" x14ac:dyDescent="0.4">
      <c r="A3" s="13" t="s">
        <v>1</v>
      </c>
      <c r="B3" s="8" t="s">
        <v>23</v>
      </c>
      <c r="C3" s="13" t="s">
        <v>11</v>
      </c>
      <c r="D3" s="3"/>
    </row>
    <row r="4" spans="1:4" x14ac:dyDescent="0.4">
      <c r="A4" s="13" t="s">
        <v>2</v>
      </c>
      <c r="B4" s="8" t="s">
        <v>24</v>
      </c>
      <c r="C4" s="13" t="s">
        <v>18</v>
      </c>
      <c r="D4" s="3" t="s">
        <v>29</v>
      </c>
    </row>
    <row r="5" spans="1:4" x14ac:dyDescent="0.4">
      <c r="A5" s="13" t="s">
        <v>14</v>
      </c>
      <c r="B5" s="8" t="s">
        <v>25</v>
      </c>
      <c r="C5" s="13" t="s">
        <v>20</v>
      </c>
      <c r="D5" s="19" t="s">
        <v>30</v>
      </c>
    </row>
    <row r="6" spans="1:4" x14ac:dyDescent="0.4">
      <c r="A6" s="13" t="s">
        <v>3</v>
      </c>
      <c r="B6" s="8" t="s">
        <v>26</v>
      </c>
      <c r="C6" s="18" t="s">
        <v>37</v>
      </c>
      <c r="D6" s="3" t="s">
        <v>31</v>
      </c>
    </row>
    <row r="7" spans="1:4" x14ac:dyDescent="0.4">
      <c r="A7" s="13" t="s">
        <v>4</v>
      </c>
      <c r="B7" s="9" t="s">
        <v>27</v>
      </c>
      <c r="C7" s="18" t="s">
        <v>36</v>
      </c>
      <c r="D7" s="23" t="s">
        <v>32</v>
      </c>
    </row>
    <row r="8" spans="1:4" x14ac:dyDescent="0.4">
      <c r="A8" s="13" t="s">
        <v>5</v>
      </c>
      <c r="B8" s="8" t="s">
        <v>28</v>
      </c>
      <c r="C8" s="18" t="s">
        <v>19</v>
      </c>
      <c r="D8" s="24" t="s">
        <v>33</v>
      </c>
    </row>
    <row r="9" spans="1:4" x14ac:dyDescent="0.4">
      <c r="A9" s="13" t="s">
        <v>6</v>
      </c>
      <c r="B9" s="8"/>
      <c r="C9" s="14" t="s">
        <v>16</v>
      </c>
      <c r="D9" s="6" t="s">
        <v>34</v>
      </c>
    </row>
    <row r="10" spans="1:4" x14ac:dyDescent="0.4">
      <c r="A10" s="16" t="s">
        <v>7</v>
      </c>
      <c r="B10" s="10"/>
      <c r="C10" s="13" t="s">
        <v>12</v>
      </c>
      <c r="D10" s="5">
        <v>45639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P6" sqref="P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0014</v>
      </c>
      <c r="B2" t="str">
        <f>IF(顧客名簿!B3="","",顧客名簿!B3)</f>
        <v>荒木浩</v>
      </c>
      <c r="C2" t="str">
        <f>IF(顧客名簿!B4="","",顧客名簿!B4)</f>
        <v>あらきひろし</v>
      </c>
      <c r="D2" t="str">
        <f>IF(顧客名簿!B5="","",顧客名簿!B5)</f>
        <v>751-0844</v>
      </c>
      <c r="E2" t="str">
        <f>IF(顧客名簿!B6="","",顧客名簿!B6)</f>
        <v>山口県下関市新垢田西町</v>
      </c>
      <c r="F2" t="str">
        <f>IF(顧客名簿!B7="","",顧客名簿!B7)</f>
        <v>4-1-301</v>
      </c>
      <c r="G2" t="str">
        <f>IF(顧客名簿!B8="","",顧客名簿!B8)</f>
        <v>090-4656-6188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　フィット</v>
      </c>
      <c r="O2" t="str">
        <f>IF(顧客名簿!D5="","",顧客名簿!D5)</f>
        <v>下関500た9652</v>
      </c>
      <c r="P2" t="str">
        <f>IF(顧客名簿!D6="","",顧客名簿!D6)</f>
        <v>GP5-1313132</v>
      </c>
      <c r="Q2" t="str">
        <f>IF(顧客名簿!D7="","",顧客名簿!D7)</f>
        <v>17574</v>
      </c>
      <c r="R2" t="str">
        <f>IF(顧客名簿!D8="","",顧客名簿!D8)</f>
        <v>0010</v>
      </c>
      <c r="S2" t="str">
        <f>IF(顧客名簿!D9="","",顧客名簿!D9)</f>
        <v>H29.12</v>
      </c>
      <c r="T2" s="22">
        <f>IF(顧客名簿!D10="","",顧客名簿!D10)</f>
        <v>45639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F759-3BA4-4BBB-A2AA-FAD942927CBC}">
  <dimension ref="D1"/>
  <sheetViews>
    <sheetView workbookViewId="0">
      <selection activeCell="D5" sqref="D5"/>
    </sheetView>
  </sheetViews>
  <sheetFormatPr defaultRowHeight="18.75" x14ac:dyDescent="0.4"/>
  <sheetData>
    <row r="1" spans="4:4" x14ac:dyDescent="0.4">
      <c r="D1" t="s">
        <v>21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2802-6119-4CE4-A443-411F7C407C76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7073-D5E6-45E5-B83B-07009C9EA1ED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顧客名簿</vt:lpstr>
      <vt:lpstr>顧客データベース</vt:lpstr>
      <vt:lpstr>見積書</vt:lpstr>
      <vt:lpstr>請求書</vt:lpstr>
      <vt:lpstr>作業内容書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2025-06-20T04:54:05Z</dcterms:modified>
</cp:coreProperties>
</file>