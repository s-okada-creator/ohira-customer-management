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1こうち河内隆範様(ｳﾞｪｾﾞﾙ)/"/>
    </mc:Choice>
  </mc:AlternateContent>
  <xr:revisionPtr revIDLastSave="63" documentId="13_ncr:1_{2162476F-CA24-49B5-8D7A-4B7C6B7A7835}" xr6:coauthVersionLast="47" xr6:coauthVersionMax="47" xr10:uidLastSave="{04DB8268-3CDE-45D4-BE9A-C298006EEA06}"/>
  <bookViews>
    <workbookView xWindow="15" yWindow="135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<sst xmlns="http://schemas.openxmlformats.org/spreadsheetml/2006/main" count="37" uniqueCount="37">
  <si>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</si>
  <si>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</si>
  <si>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</si>
  <si>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</si>
  <si>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</si>
  <si>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</si>
  <si>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</si>
  <si>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</si>
  <si>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</si>
  <si>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</si>
  <si>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</si>
  <si>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</si>
  <si>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</si>
  <si>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</si>
  <si>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</si>
  <si>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</si>
  <si>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</si>
  <si>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</si>
  <si>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</si>
  <si>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</si>
  <si>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</si>
  <si>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</si>
  <si>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</si>
  <si>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0131</t>
    <phoneticPr fontId="1"/>
  </si>
  <si>
    <t>河内　隆範</t>
    <rPh sb="0" eb="2">
      <t>カワウチ</t>
    </rPh>
    <rPh sb="3" eb="5">
      <t>タカノリ</t>
    </rPh>
    <phoneticPr fontId="1"/>
  </si>
  <si>
    <t>ホンダヴェゼル</t>
    <phoneticPr fontId="1"/>
  </si>
  <si>
    <t>高松300す54</t>
    <rPh sb="0" eb="2">
      <t>タカマツ</t>
    </rPh>
    <phoneticPr fontId="1"/>
  </si>
  <si>
    <t>RU1-1013153</t>
    <phoneticPr fontId="1"/>
  </si>
  <si>
    <t>17665</t>
    <phoneticPr fontId="1"/>
  </si>
  <si>
    <t>0003</t>
    <phoneticPr fontId="1"/>
  </si>
  <si>
    <t>H26.10</t>
    <phoneticPr fontId="1"/>
  </si>
  <si>
    <t>こうちたかのり</t>
    <phoneticPr fontId="1"/>
  </si>
  <si>
    <t>751-0808</t>
    <phoneticPr fontId="1"/>
  </si>
  <si>
    <t>山口県下関市一の宮本町</t>
    <rPh sb="0" eb="11">
      <t>751-0808</t>
    </rPh>
    <phoneticPr fontId="1"/>
  </si>
  <si>
    <t>2丁目3-9</t>
    <rPh sb="1" eb="3">
      <t>チョウメ</t>
    </rPh>
    <phoneticPr fontId="1"/>
  </si>
  <si>
    <t>大平</t>
    <rPh sb="0" eb="2">
      <t>オオヒラ</t>
    </rPh>
    <phoneticPr fontId="1"/>
  </si>
  <si>
    <t>No/13亜希子様の兄</t>
    <rPh sb="5" eb="8">
      <t>アキコ</t>
    </rPh>
    <rPh sb="8" eb="9">
      <t>サマ</t>
    </rPh>
    <rPh sb="10" eb="11">
      <t>アニ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</si>
</sst>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31</v>
      </c>
      <c r="C4" s="12" t="s">
        <v>18</v>
      </c>
      <c r="D4" s="3" t="s">
        <v>25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26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27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28</v>
      </c>
    </row>
    <row r="8" spans="1:4" x14ac:dyDescent="0.4">
      <c r="A8" s="12" t="s">
        <v>5</v>
      </c>
      <c r="B8" s="8"/>
      <c r="C8" s="17" t="s">
        <v>19</v>
      </c>
      <c r="D8" s="23" t="s">
        <v>29</v>
      </c>
    </row>
    <row r="9" spans="1:4" x14ac:dyDescent="0.4">
      <c r="A9" s="12" t="s">
        <v>6</v>
      </c>
      <c r="B9" s="8"/>
      <c r="C9" s="13" t="s">
        <v>16</v>
      </c>
      <c r="D9" s="6" t="s">
        <v>30</v>
      </c>
    </row>
    <row r="10" spans="1:4" x14ac:dyDescent="0.4">
      <c r="A10" s="15" t="s">
        <v>7</v>
      </c>
      <c r="B10" s="10"/>
      <c r="C10" s="12" t="s">
        <v>12</v>
      </c>
      <c r="D10" s="5">
        <v>46006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0131</v>
      </c>
      <c r="B2" t="str">
        <f>IF(顧客名簿!B3="","",顧客名簿!B3)</f>
        <v>河内　隆範</v>
      </c>
      <c r="C2" t="str">
        <f>IF(顧客名簿!B4="","",顧客名簿!B4)</f>
        <v>こうちたかのり</v>
      </c>
      <c r="D2" t="str">
        <f>IF(顧客名簿!B5="","",顧客名簿!B5)</f>
        <v>751-0808</v>
      </c>
      <c r="E2" t="str">
        <f>IF(顧客名簿!B6="","",顧客名簿!B6)</f>
        <v>山口県下関市一の宮本町</v>
      </c>
      <c r="F2" t="str">
        <f>IF(顧客名簿!B7="","",顧客名簿!B7)</f>
        <v>2丁目3-9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ホンダヴェゼル</v>
      </c>
      <c r="O2" t="str">
        <f>IF(顧客名簿!D5="","",顧客名簿!D5)</f>
        <v>高松300す54</v>
      </c>
      <c r="P2" t="str">
        <f>IF(顧客名簿!D6="","",顧客名簿!D6)</f>
        <v>RU1-1013153</v>
      </c>
      <c r="Q2" t="str">
        <f>IF(顧客名簿!D7="","",顧客名簿!D7)</f>
        <v>17665</v>
      </c>
      <c r="R2" t="str">
        <f>IF(顧客名簿!D8="","",顧客名簿!D8)</f>
        <v>0003</v>
      </c>
      <c r="S2" t="str">
        <f>IF(顧客名簿!D9="","",顧客名簿!D9)</f>
        <v>H26.10</v>
      </c>
      <c r="T2" s="21">
        <f>IF(顧客名簿!D10="","",顧客名簿!D10)</f>
        <v>46006</v>
      </c>
      <c r="U2" s="20" t="str">
        <f>IF(顧客名簿!D11="","",顧客名簿!D11)</f>
        <v>No/13亜希子様の兄</v>
      </c>
      <c r="V2" s="20" t="str">
        <f>IF(顧客名簿!D12="","",顧客名簿!D12)</f>
        <v>大平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2025-09-16T04:47:26Z</dcterms:modified>
</cp:coreProperties>
</file>