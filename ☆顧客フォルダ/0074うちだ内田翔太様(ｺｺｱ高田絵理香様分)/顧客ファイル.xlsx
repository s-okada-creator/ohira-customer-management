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74うちだ内田翔太様(ｺｺｱ高田絵理香様分)/"/>
    </mc:Choice>
  </mc:AlternateContent>
  <xr:revisionPtr revIDLastSave="60" documentId="13_ncr:1_{2162476F-CA24-49B5-8D7A-4B7C6B7A7835}" xr6:coauthVersionLast="47" xr6:coauthVersionMax="47" xr10:uidLastSave="{348503F7-0913-4F97-8C38-56253284A4C1}"/>
  <bookViews>
    <workbookView xWindow="390" yWindow="7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<sst xmlns="http://schemas.openxmlformats.org/spreadsheetml/2006/main" count="37" uniqueCount="37">
  <si>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</si>
  <si>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</si>
  <si>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</si>
  <si>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</si>
  <si>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</si>
  <si>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</si>
  <si>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</si>
  <si>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</si>
  <si>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</si>
  <si>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</si>
  <si>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</si>
  <si>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</si>
  <si>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</si>
  <si>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</si>
  <si>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</si>
  <si>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</si>
  <si>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</si>
  <si>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</si>
  <si>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</si>
  <si>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</si>
  <si>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</si>
  <si>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</si>
  <si>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</si>
  <si>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0074</t>
    <phoneticPr fontId="1"/>
  </si>
  <si>
    <t>752-0928</t>
    <phoneticPr fontId="1"/>
  </si>
  <si>
    <t>山口県下関市長府才川</t>
    <rPh sb="0" eb="10">
      <t>752-0928</t>
    </rPh>
    <phoneticPr fontId="1"/>
  </si>
  <si>
    <t>２丁目-8-201</t>
    <rPh sb="1" eb="3">
      <t>チョウメ</t>
    </rPh>
    <phoneticPr fontId="1"/>
  </si>
  <si>
    <t>ダイハツココア</t>
    <phoneticPr fontId="1"/>
  </si>
  <si>
    <t>下関580こ8452</t>
    <rPh sb="0" eb="2">
      <t>シモノセキ</t>
    </rPh>
    <phoneticPr fontId="1"/>
  </si>
  <si>
    <t>L675S-0010005</t>
    <phoneticPr fontId="1"/>
  </si>
  <si>
    <t>16319</t>
    <phoneticPr fontId="1"/>
  </si>
  <si>
    <t>0009</t>
    <phoneticPr fontId="1"/>
  </si>
  <si>
    <t>H21.10</t>
    <phoneticPr fontId="1"/>
  </si>
  <si>
    <t>大平英明</t>
    <rPh sb="0" eb="4">
      <t>オオヒラヒデアキ</t>
    </rPh>
    <phoneticPr fontId="1"/>
  </si>
  <si>
    <t>高田　絵理香</t>
    <rPh sb="0" eb="2">
      <t>タカダ</t>
    </rPh>
    <rPh sb="3" eb="6">
      <t>エリカ</t>
    </rPh>
    <phoneticPr fontId="1"/>
  </si>
  <si>
    <t>たかだえりか</t>
    <phoneticPr fontId="1"/>
  </si>
  <si>
    <t>内田翔太様</t>
    <rPh sb="0" eb="2">
      <t>ウチダ</t>
    </rPh>
    <rPh sb="2" eb="4">
      <t>ショウタ</t>
    </rPh>
    <rPh sb="4" eb="5">
      <t>サマ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</si>
</sst>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34</v>
      </c>
      <c r="C3" s="12" t="s">
        <v>11</v>
      </c>
      <c r="D3" s="3"/>
    </row>
    <row r="4" spans="1:4" x14ac:dyDescent="0.4">
      <c r="A4" s="12" t="s">
        <v>2</v>
      </c>
      <c r="B4" s="8" t="s">
        <v>35</v>
      </c>
      <c r="C4" s="12" t="s">
        <v>18</v>
      </c>
      <c r="D4" s="3" t="s">
        <v>27</v>
      </c>
    </row>
    <row r="5" spans="1:4" x14ac:dyDescent="0.4">
      <c r="A5" s="12" t="s">
        <v>14</v>
      </c>
      <c r="B5" s="8" t="s">
        <v>24</v>
      </c>
      <c r="C5" s="12" t="s">
        <v>20</v>
      </c>
      <c r="D5" s="18" t="s">
        <v>28</v>
      </c>
    </row>
    <row r="6" spans="1:4" x14ac:dyDescent="0.4">
      <c r="A6" s="12" t="s">
        <v>3</v>
      </c>
      <c r="B6" s="8" t="s">
        <v>25</v>
      </c>
      <c r="C6" s="17" t="s">
        <v>21</v>
      </c>
      <c r="D6" s="3" t="s">
        <v>29</v>
      </c>
    </row>
    <row r="7" spans="1:4" x14ac:dyDescent="0.4">
      <c r="A7" s="12" t="s">
        <v>4</v>
      </c>
      <c r="B7" s="9" t="s">
        <v>26</v>
      </c>
      <c r="C7" s="26" t="s">
        <v>22</v>
      </c>
      <c r="D7" s="22" t="s">
        <v>30</v>
      </c>
    </row>
    <row r="8" spans="1:4" x14ac:dyDescent="0.4">
      <c r="A8" s="12" t="s">
        <v>5</v>
      </c>
      <c r="B8" s="8"/>
      <c r="C8" s="17" t="s">
        <v>19</v>
      </c>
      <c r="D8" s="23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45586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33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0074</v>
      </c>
      <c r="B2" t="str">
        <f>IF(顧客名簿!B3="","",顧客名簿!B3)</f>
        <v>高田　絵理香</v>
      </c>
      <c r="C2" t="str">
        <f>IF(顧客名簿!B4="","",顧客名簿!B4)</f>
        <v>たかだえりか</v>
      </c>
      <c r="D2" t="str">
        <f>IF(顧客名簿!B5="","",顧客名簿!B5)</f>
        <v>752-0928</v>
      </c>
      <c r="E2" t="str">
        <f>IF(顧客名簿!B6="","",顧客名簿!B6)</f>
        <v>山口県下関市長府才川</v>
      </c>
      <c r="F2" t="str">
        <f>IF(顧客名簿!B7="","",顧客名簿!B7)</f>
        <v>２丁目-8-201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ダイハツココア</v>
      </c>
      <c r="O2" t="str">
        <f>IF(顧客名簿!D5="","",顧客名簿!D5)</f>
        <v>下関580こ8452</v>
      </c>
      <c r="P2" t="str">
        <f>IF(顧客名簿!D6="","",顧客名簿!D6)</f>
        <v>L675S-0010005</v>
      </c>
      <c r="Q2" t="str">
        <f>IF(顧客名簿!D7="","",顧客名簿!D7)</f>
        <v>16319</v>
      </c>
      <c r="R2" t="str">
        <f>IF(顧客名簿!D8="","",顧客名簿!D8)</f>
        <v>0009</v>
      </c>
      <c r="S2" t="str">
        <f>IF(顧客名簿!D9="","",顧客名簿!D9)</f>
        <v>H21.10</v>
      </c>
      <c r="T2" s="21">
        <f>IF(顧客名簿!D10="","",顧客名簿!D10)</f>
        <v>45586</v>
      </c>
      <c r="U2" s="20" t="str">
        <f>IF(顧客名簿!D11="","",顧客名簿!D11)</f>
        <v>内田翔太様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2024-11-05T07:19:00Z</dcterms:modified>
</cp:coreProperties>
</file>