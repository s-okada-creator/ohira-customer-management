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94おの小野様(NBOX・金富様紹介)/"/>
    </mc:Choice>
  </mc:AlternateContent>
  <xr:revisionPtr revIDLastSave="58" documentId="13_ncr:1_{2162476F-CA24-49B5-8D7A-4B7C6B7A7835}" xr6:coauthVersionLast="47" xr6:coauthVersionMax="47" xr10:uidLastSave="{47C49D19-3B10-4E47-B9DF-6656E0A8D3F3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<sst xmlns="http://schemas.openxmlformats.org/spreadsheetml/2006/main" count="35" uniqueCount="35">
  <si>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</si>
  <si>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</si>
  <si>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</si>
  <si>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</si>
  <si>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</si>
  <si>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</si>
  <si>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</si>
  <si>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</si>
  <si>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</si>
  <si>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</si>
  <si>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</si>
  <si>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</si>
  <si>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</si>
  <si>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</si>
  <si>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</si>
  <si>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</si>
  <si>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</si>
  <si>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</si>
  <si>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</si>
  <si>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</si>
  <si>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</si>
  <si>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</si>
  <si>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</si>
  <si>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0094</t>
    <phoneticPr fontId="1"/>
  </si>
  <si>
    <t>小野　祐樹</t>
    <rPh sb="0" eb="2">
      <t>オノ</t>
    </rPh>
    <rPh sb="3" eb="5">
      <t>ユウキ</t>
    </rPh>
    <phoneticPr fontId="1"/>
  </si>
  <si>
    <t>おのゆうき</t>
    <phoneticPr fontId="1"/>
  </si>
  <si>
    <t>090-4103-0625</t>
    <phoneticPr fontId="1"/>
  </si>
  <si>
    <t>ホンダNBOX</t>
    <phoneticPr fontId="1"/>
  </si>
  <si>
    <t>下関580く1943</t>
    <rPh sb="0" eb="2">
      <t>シモノセキ</t>
    </rPh>
    <phoneticPr fontId="1"/>
  </si>
  <si>
    <t>JF1-1409662</t>
    <phoneticPr fontId="1"/>
  </si>
  <si>
    <t>17075</t>
    <phoneticPr fontId="1"/>
  </si>
  <si>
    <t>0035</t>
    <phoneticPr fontId="1"/>
  </si>
  <si>
    <t>H26.3</t>
    <phoneticPr fontId="1"/>
  </si>
  <si>
    <t>金富様</t>
    <rPh sb="0" eb="2">
      <t>カネトミ</t>
    </rPh>
    <rPh sb="2" eb="3">
      <t>サマ</t>
    </rPh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</si>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</sst>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/>
      <c r="C5" s="12" t="s">
        <v>20</v>
      </c>
      <c r="D5" s="18" t="s">
        <v>28</v>
      </c>
    </row>
    <row r="6" spans="1:4" x14ac:dyDescent="0.4">
      <c r="A6" s="12" t="s">
        <v>3</v>
      </c>
      <c r="B6" s="8"/>
      <c r="C6" s="17" t="s">
        <v>21</v>
      </c>
      <c r="D6" s="3" t="s">
        <v>29</v>
      </c>
    </row>
    <row r="7" spans="1:4" x14ac:dyDescent="0.4">
      <c r="A7" s="12" t="s">
        <v>4</v>
      </c>
      <c r="B7" s="9"/>
      <c r="C7" s="26" t="s">
        <v>22</v>
      </c>
      <c r="D7" s="22" t="s">
        <v>30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46467</v>
      </c>
    </row>
    <row r="11" spans="1:4" x14ac:dyDescent="0.4">
      <c r="A11" s="12" t="s">
        <v>8</v>
      </c>
      <c r="B11" s="10"/>
      <c r="C11" s="12" t="s">
        <v>13</v>
      </c>
      <c r="D11" s="24" t="s">
        <v>33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34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0094</v>
      </c>
      <c r="B2" t="str">
        <f>IF(顧客名簿!B3="","",顧客名簿!B3)</f>
        <v>小野　祐樹</v>
      </c>
      <c r="C2" t="str">
        <f>IF(顧客名簿!B4="","",顧客名簿!B4)</f>
        <v>おのゆうき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090-4103-0625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ホンダNBOX</v>
      </c>
      <c r="O2" t="str">
        <f>IF(顧客名簿!D5="","",顧客名簿!D5)</f>
        <v>下関580く1943</v>
      </c>
      <c r="P2" t="str">
        <f>IF(顧客名簿!D6="","",顧客名簿!D6)</f>
        <v>JF1-1409662</v>
      </c>
      <c r="Q2" t="str">
        <f>IF(顧客名簿!D7="","",顧客名簿!D7)</f>
        <v>17075</v>
      </c>
      <c r="R2" t="str">
        <f>IF(顧客名簿!D8="","",顧客名簿!D8)</f>
        <v>0035</v>
      </c>
      <c r="S2" t="str">
        <f>IF(顧客名簿!D9="","",顧客名簿!D9)</f>
        <v>H26.3</v>
      </c>
      <c r="T2" s="21">
        <f>IF(顧客名簿!D10="","",顧客名簿!D10)</f>
        <v>46467</v>
      </c>
      <c r="U2" s="20" t="str">
        <f>IF(顧客名簿!D11="","",顧客名簿!D11)</f>
        <v>金富様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2025-05-21T04:50:35Z</dcterms:modified>
</cp:coreProperties>
</file>