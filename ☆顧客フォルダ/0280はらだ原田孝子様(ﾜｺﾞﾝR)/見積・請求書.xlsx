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80はらだ原田孝子様(ﾜｺﾞﾝR)/"/>
    </mc:Choice>
  </mc:AlternateContent>
  <xr:revisionPtr revIDLastSave="29" documentId="13_ncr:1_{1CB85908-E75D-46F2-8CB1-CB28FE68B0DB}" xr6:coauthVersionLast="47" xr6:coauthVersionMax="47" xr10:uidLastSave="{FEBCB5F7-483B-4B2D-977B-3564E88131A6}"/>
  <bookViews>
    <workbookView xWindow="10380" yWindow="45" windowWidth="10110" windowHeight="10725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<sst xmlns="http://schemas.openxmlformats.org/spreadsheetml/2006/main" count="72" uniqueCount="45">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</sst>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34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38" fontId="0" fillId="0" borderId="35" xfId="1" applyFont="1" applyBorder="1" applyAlignment="1">
      <alignment horizontal="right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80&#12399;&#12425;&#12384;&#21407;&#30000;&#23389;&#23376;&#27096;(&#65436;&#65402;&#65438;&#65437;R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原田　孝子</v>
          </cell>
        </row>
        <row r="4">
          <cell r="D4" t="str">
            <v>スズキワゴンR</v>
          </cell>
        </row>
        <row r="5">
          <cell r="D5" t="str">
            <v>下関580さ357</v>
          </cell>
        </row>
        <row r="6">
          <cell r="B6" t="str">
            <v>山口県下関市上新地町</v>
          </cell>
          <cell r="D6" t="str">
            <v>MH34S-534692</v>
          </cell>
        </row>
        <row r="7">
          <cell r="B7" t="str">
            <v>５丁目1-C-1011</v>
          </cell>
          <cell r="D7" t="str">
            <v>17346</v>
          </cell>
        </row>
        <row r="8">
          <cell r="B8" t="str">
            <v>090-7467-4877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A20" sqref="A20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56" t="s">
        <v>31</v>
      </c>
      <c r="B1" s="56"/>
      <c r="C1" s="56"/>
      <c r="D1" s="56"/>
      <c r="E1" s="56"/>
      <c r="F1" s="56"/>
      <c r="G1" s="56"/>
      <c r="H1" s="56"/>
    </row>
    <row r="2" spans="1:8" x14ac:dyDescent="0.4">
      <c r="F2" s="8" t="s">
        <v>32</v>
      </c>
      <c r="G2" s="57"/>
      <c r="H2" s="57"/>
    </row>
    <row r="3" spans="1:8" ht="25.5" x14ac:dyDescent="0.4">
      <c r="A3" s="7" t="s">
        <v>27</v>
      </c>
      <c r="B3" s="58" t="str">
        <f>[1]顧客名簿!$B$3</f>
        <v>原田　孝子</v>
      </c>
      <c r="C3" s="58"/>
      <c r="D3" s="58"/>
      <c r="F3" s="56" t="s">
        <v>26</v>
      </c>
      <c r="G3" s="56"/>
      <c r="H3" s="56"/>
    </row>
    <row r="4" spans="1:8" ht="18.75" customHeight="1" x14ac:dyDescent="0.4">
      <c r="A4" s="59" t="s">
        <v>25</v>
      </c>
      <c r="B4" s="61" t="str">
        <f>[1]顧客名簿!$B$6</f>
        <v>山口県下関市上新地町</v>
      </c>
      <c r="C4" s="61"/>
      <c r="D4" s="61"/>
      <c r="F4" t="s">
        <v>24</v>
      </c>
    </row>
    <row r="5" spans="1:8" ht="18.75" customHeight="1" x14ac:dyDescent="0.4">
      <c r="A5" s="60"/>
      <c r="B5" s="62" t="str">
        <f>[1]顧客名簿!$B$7</f>
        <v>５丁目1-C-1011</v>
      </c>
      <c r="C5" s="63"/>
      <c r="D5" s="63"/>
      <c r="F5" t="s">
        <v>23</v>
      </c>
    </row>
    <row r="6" spans="1:8" ht="19.5" x14ac:dyDescent="0.4">
      <c r="A6" s="6" t="s">
        <v>22</v>
      </c>
      <c r="B6" s="5" t="str">
        <f>[1]顧客名簿!$B$8</f>
        <v>090-7467-4877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50" t="str">
        <f>[1]顧客名簿!$D$4</f>
        <v>スズキワゴンR</v>
      </c>
      <c r="C8" s="50"/>
      <c r="D8" s="50"/>
      <c r="F8" s="4" t="s">
        <v>18</v>
      </c>
      <c r="G8" s="4"/>
      <c r="H8" s="4"/>
    </row>
    <row r="9" spans="1:8" ht="18.75" customHeight="1" x14ac:dyDescent="0.4">
      <c r="A9" s="3" t="s">
        <v>17</v>
      </c>
      <c r="B9" s="51" t="str">
        <f>[1]顧客名簿!$D$7</f>
        <v>17346</v>
      </c>
      <c r="C9" s="50"/>
      <c r="D9" s="50"/>
      <c r="F9" s="52" t="s">
        <v>16</v>
      </c>
      <c r="G9" s="52"/>
      <c r="H9" s="52"/>
    </row>
    <row r="10" spans="1:8" ht="18.75" customHeight="1" x14ac:dyDescent="0.4">
      <c r="A10" s="3" t="s">
        <v>15</v>
      </c>
      <c r="B10" s="50" t="str">
        <f>[1]顧客名簿!$D$5</f>
        <v>下関580さ357</v>
      </c>
      <c r="C10" s="50"/>
      <c r="D10" s="50"/>
      <c r="F10" s="52" t="s">
        <v>14</v>
      </c>
      <c r="G10" s="52"/>
      <c r="H10" s="52"/>
    </row>
    <row r="11" spans="1:8" ht="18.75" customHeight="1" x14ac:dyDescent="0.4">
      <c r="A11" s="3" t="s">
        <v>13</v>
      </c>
      <c r="B11" s="50" t="str">
        <f>[1]顧客名簿!$D$6</f>
        <v>MH34S-534692</v>
      </c>
      <c r="C11" s="50"/>
      <c r="D11" s="50"/>
      <c r="F11" s="52" t="s">
        <v>12</v>
      </c>
      <c r="G11" s="52"/>
      <c r="H11" s="52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53">
        <f>G38</f>
        <v>0</v>
      </c>
      <c r="C13" s="53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4" t="s">
        <v>4</v>
      </c>
      <c r="H15" s="55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46">
        <f t="shared" si="1"/>
        <v>0</v>
      </c>
      <c r="H35" s="47"/>
    </row>
    <row r="36" spans="1:8" ht="19.5" thickBot="1" x14ac:dyDescent="0.45">
      <c r="A36" s="19" t="s">
        <v>3</v>
      </c>
      <c r="E36" s="48" t="s">
        <v>2</v>
      </c>
      <c r="F36" s="49"/>
      <c r="G36" s="38">
        <f>SUM(G16:H35)</f>
        <v>0</v>
      </c>
      <c r="H36" s="39"/>
    </row>
    <row r="37" spans="1:8" ht="19.5" thickBot="1" x14ac:dyDescent="0.45">
      <c r="B37" s="19"/>
      <c r="C37" s="19"/>
      <c r="E37" s="36" t="s">
        <v>1</v>
      </c>
      <c r="F37" s="37"/>
      <c r="G37" s="38">
        <f>SUM(F16:F35)</f>
        <v>0</v>
      </c>
      <c r="H37" s="39"/>
    </row>
    <row r="38" spans="1:8" ht="19.5" thickBot="1" x14ac:dyDescent="0.45">
      <c r="E38" s="40" t="s">
        <v>0</v>
      </c>
      <c r="F38" s="41"/>
      <c r="G38" s="42">
        <f>SUM(G36:H37)</f>
        <v>0</v>
      </c>
      <c r="H38" s="43"/>
    </row>
  </sheetData>
  <mergeCells count="42">
    <mergeCell ref="A1:H1"/>
    <mergeCell ref="G2:H2"/>
    <mergeCell ref="B3:D3"/>
    <mergeCell ref="F3:H3"/>
    <mergeCell ref="A4:A5"/>
    <mergeCell ref="B4:D4"/>
    <mergeCell ref="B5:D5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56" t="s">
        <v>28</v>
      </c>
      <c r="B1" s="56"/>
      <c r="C1" s="56"/>
      <c r="D1" s="56"/>
      <c r="E1" s="56"/>
      <c r="F1" s="56"/>
      <c r="G1" s="56"/>
      <c r="H1" s="56"/>
    </row>
    <row r="2" spans="1:8" x14ac:dyDescent="0.4">
      <c r="F2" s="8" t="s">
        <v>33</v>
      </c>
      <c r="G2" s="65">
        <f>見積書!G2</f>
        <v>0</v>
      </c>
      <c r="H2" s="65"/>
    </row>
    <row r="3" spans="1:8" ht="25.5" x14ac:dyDescent="0.4">
      <c r="A3" s="7" t="s">
        <v>27</v>
      </c>
      <c r="B3" s="58" t="str">
        <f>[1]顧客名簿!$B$3</f>
        <v>原田　孝子</v>
      </c>
      <c r="C3" s="58"/>
      <c r="D3" s="58"/>
      <c r="F3" s="56" t="s">
        <v>26</v>
      </c>
      <c r="G3" s="56"/>
      <c r="H3" s="56"/>
    </row>
    <row r="4" spans="1:8" ht="18.75" customHeight="1" x14ac:dyDescent="0.4">
      <c r="A4" s="59" t="s">
        <v>25</v>
      </c>
      <c r="B4" s="61" t="str">
        <f>[1]顧客名簿!$B$6</f>
        <v>山口県下関市上新地町</v>
      </c>
      <c r="C4" s="61"/>
      <c r="D4" s="61"/>
      <c r="F4" t="s">
        <v>24</v>
      </c>
    </row>
    <row r="5" spans="1:8" ht="18.75" customHeight="1" x14ac:dyDescent="0.4">
      <c r="A5" s="60"/>
      <c r="B5" s="62" t="str">
        <f>[1]顧客名簿!$B$7</f>
        <v>５丁目1-C-1011</v>
      </c>
      <c r="C5" s="63"/>
      <c r="D5" s="63"/>
      <c r="F5" t="s">
        <v>23</v>
      </c>
    </row>
    <row r="6" spans="1:8" ht="19.5" x14ac:dyDescent="0.4">
      <c r="A6" s="6" t="s">
        <v>22</v>
      </c>
      <c r="B6" s="5" t="str">
        <f>[1]顧客名簿!$B$8</f>
        <v>090-7467-4877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50" t="str">
        <f>[1]顧客名簿!$D$4</f>
        <v>スズキワゴンR</v>
      </c>
      <c r="C8" s="50"/>
      <c r="D8" s="50"/>
      <c r="F8" s="4" t="s">
        <v>18</v>
      </c>
      <c r="G8" s="4"/>
      <c r="H8" s="4"/>
    </row>
    <row r="9" spans="1:8" ht="18.75" customHeight="1" x14ac:dyDescent="0.4">
      <c r="A9" s="3" t="s">
        <v>17</v>
      </c>
      <c r="B9" s="51" t="str">
        <f>[1]顧客名簿!$D$7</f>
        <v>17346</v>
      </c>
      <c r="C9" s="50"/>
      <c r="D9" s="50"/>
      <c r="F9" s="52" t="s">
        <v>16</v>
      </c>
      <c r="G9" s="52"/>
      <c r="H9" s="52"/>
    </row>
    <row r="10" spans="1:8" ht="18.75" customHeight="1" x14ac:dyDescent="0.4">
      <c r="A10" s="3" t="s">
        <v>15</v>
      </c>
      <c r="B10" s="50" t="str">
        <f>[1]顧客名簿!$D$5</f>
        <v>下関580さ357</v>
      </c>
      <c r="C10" s="50"/>
      <c r="D10" s="50"/>
      <c r="F10" s="52" t="s">
        <v>14</v>
      </c>
      <c r="G10" s="52"/>
      <c r="H10" s="52"/>
    </row>
    <row r="11" spans="1:8" ht="18.75" customHeight="1" x14ac:dyDescent="0.4">
      <c r="A11" s="3" t="s">
        <v>13</v>
      </c>
      <c r="B11" s="50" t="str">
        <f>[1]顧客名簿!$D$6</f>
        <v>MH34S-534692</v>
      </c>
      <c r="C11" s="50"/>
      <c r="D11" s="50"/>
      <c r="F11" s="52" t="s">
        <v>12</v>
      </c>
      <c r="G11" s="52"/>
      <c r="H11" s="52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53">
        <f>G38</f>
        <v>0</v>
      </c>
      <c r="C13" s="53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6" t="s">
        <v>4</v>
      </c>
      <c r="H15" s="55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4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4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4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4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4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4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4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4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4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4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4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4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4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4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4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4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4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4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7" t="str">
        <f t="shared" si="1"/>
        <v/>
      </c>
      <c r="H35" s="47"/>
    </row>
    <row r="36" spans="1:8" ht="19.5" thickBot="1" x14ac:dyDescent="0.45">
      <c r="A36" s="19" t="s">
        <v>3</v>
      </c>
      <c r="E36" s="48" t="s">
        <v>2</v>
      </c>
      <c r="F36" s="49"/>
      <c r="G36" s="68">
        <f>SUM(G16:H35)</f>
        <v>0</v>
      </c>
      <c r="H36" s="69"/>
    </row>
    <row r="37" spans="1:8" ht="19.5" thickBot="1" x14ac:dyDescent="0.45">
      <c r="B37" s="19"/>
      <c r="C37" s="19"/>
      <c r="E37" s="36" t="s">
        <v>1</v>
      </c>
      <c r="F37" s="37"/>
      <c r="G37" s="38">
        <f>SUM(F16:F35)</f>
        <v>0</v>
      </c>
      <c r="H37" s="39"/>
    </row>
    <row r="38" spans="1:8" ht="19.5" thickBot="1" x14ac:dyDescent="0.45">
      <c r="E38" s="40" t="s">
        <v>0</v>
      </c>
      <c r="F38" s="41"/>
      <c r="G38" s="70">
        <f>SUM(G36:H37)</f>
        <v>0</v>
      </c>
      <c r="H38" s="71"/>
    </row>
  </sheetData>
  <mergeCells count="42">
    <mergeCell ref="E36:F36"/>
    <mergeCell ref="E37:F37"/>
    <mergeCell ref="E38:F38"/>
    <mergeCell ref="G36:H36"/>
    <mergeCell ref="G37:H37"/>
    <mergeCell ref="G38:H38"/>
    <mergeCell ref="G25:H25"/>
    <mergeCell ref="G30:H30"/>
    <mergeCell ref="G31:H31"/>
    <mergeCell ref="G32:H32"/>
    <mergeCell ref="B8:D8"/>
    <mergeCell ref="B9:D9"/>
    <mergeCell ref="B10:D10"/>
    <mergeCell ref="B11:D11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原田　孝子</v>
      </c>
      <c r="C2" s="21" t="str">
        <f>請求書!B4</f>
        <v>山口県下関市上新地町</v>
      </c>
      <c r="D2" s="21" t="str">
        <f>請求書!B5</f>
        <v>５丁目1-C-1011</v>
      </c>
      <c r="E2" s="21" t="str">
        <f>請求書!B6</f>
        <v>090-7467-4877</v>
      </c>
      <c r="F2" s="21" t="str">
        <f>請求書!B8</f>
        <v>スズキワゴンR</v>
      </c>
      <c r="G2" s="21" t="str">
        <f>請求書!B9</f>
        <v>17346</v>
      </c>
      <c r="H2" s="21" t="str">
        <f>請求書!B10</f>
        <v>下関580さ357</v>
      </c>
      <c r="I2" s="20" t="str">
        <f>請求書!B11</f>
        <v>MH34S-534692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2025-09-12T04:34:44Z</dcterms:modified>
</cp:coreProperties>
</file>