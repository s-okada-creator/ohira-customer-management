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1あきずみ秋住幸信様(ｾﾘｶ)/"/>
    </mc:Choice>
  </mc:AlternateContent>
  <xr:revisionPtr revIDLastSave="5" documentId="13_ncr:1_{68D8FAAB-9449-4688-A93A-2F5E93382682}" xr6:coauthVersionLast="47" xr6:coauthVersionMax="47" xr10:uidLastSave="{77B30B8B-9532-4BCF-B3CB-33E594621B33}"/>
  <bookViews>
    <workbookView xWindow="405" yWindow="51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<sst xmlns="http://schemas.openxmlformats.org/spreadsheetml/2006/main" count="37" uniqueCount="37">
  <si>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</si>
  <si>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コード№</t>
    <phoneticPr fontId="1"/>
  </si>
  <si>
    <t>0001</t>
    <phoneticPr fontId="1"/>
  </si>
  <si>
    <t>会社住所2</t>
    <rPh sb="0" eb="4">
      <t>カイシャジュウショ</t>
    </rPh>
    <phoneticPr fontId="1"/>
  </si>
  <si>
    <t>名　前</t>
    <rPh sb="0" eb="1">
      <t>ナ</t>
    </rPh>
    <rPh sb="2" eb="3">
      <t>マエ</t>
    </rPh>
    <phoneticPr fontId="1"/>
  </si>
  <si>
    <t>秋住　幸信</t>
    <rPh sb="0" eb="1">
      <t>アキ</t>
    </rPh>
    <rPh sb="1" eb="2">
      <t>スミ</t>
    </rPh>
    <rPh sb="3" eb="5">
      <t>ユキノブ</t>
    </rPh>
    <phoneticPr fontId="1"/>
  </si>
  <si>
    <t>会社電話番号</t>
    <rPh sb="0" eb="6">
      <t>カイシャデンワバンゴウ</t>
    </rPh>
    <phoneticPr fontId="1"/>
  </si>
  <si>
    <t>ふりがな</t>
    <phoneticPr fontId="1"/>
  </si>
  <si>
    <t>あきずみ　ゆきのぶ</t>
    <phoneticPr fontId="1"/>
  </si>
  <si>
    <t>車　名</t>
    <rPh sb="0" eb="1">
      <t>クルマ</t>
    </rPh>
    <rPh sb="2" eb="3">
      <t>ナ</t>
    </rPh>
    <phoneticPr fontId="1"/>
  </si>
  <si>
    <t>トヨタ　セリカ</t>
    <phoneticPr fontId="1"/>
  </si>
  <si>
    <t>自宅郵便番号</t>
    <rPh sb="0" eb="2">
      <t>ジタク</t>
    </rPh>
    <rPh sb="2" eb="6">
      <t>ユウビンバンゴウ</t>
    </rPh>
    <phoneticPr fontId="1"/>
  </si>
  <si>
    <t>751-0849</t>
    <phoneticPr fontId="1"/>
  </si>
  <si>
    <t>車両ナンバー</t>
    <rPh sb="0" eb="2">
      <t>シャリョウ</t>
    </rPh>
    <phoneticPr fontId="1"/>
  </si>
  <si>
    <t>山口　33　ふ　269</t>
    <rPh sb="0" eb="2">
      <t>ヤマグチ</t>
    </rPh>
    <phoneticPr fontId="1"/>
  </si>
  <si>
    <t>自宅住所1</t>
    <rPh sb="0" eb="4">
      <t>ジタクジュウショ</t>
    </rPh>
    <phoneticPr fontId="1"/>
  </si>
  <si>
    <t>山口県下関市綾羅木本町</t>
    <rPh sb="0" eb="11">
      <t>751-0849</t>
    </rPh>
    <phoneticPr fontId="1"/>
  </si>
  <si>
    <t>車台番号</t>
    <rPh sb="0" eb="2">
      <t>シャダイ</t>
    </rPh>
    <rPh sb="2" eb="4">
      <t>バンゴウ</t>
    </rPh>
    <phoneticPr fontId="1"/>
  </si>
  <si>
    <t>ST202-0117201</t>
    <phoneticPr fontId="1"/>
  </si>
  <si>
    <t>自宅住所2</t>
    <rPh sb="0" eb="4">
      <t>ジタクジュウショ</t>
    </rPh>
    <phoneticPr fontId="1"/>
  </si>
  <si>
    <t>5-8-6リバティ綾羅木201号</t>
    <rPh sb="9" eb="12">
      <t>アヤラギ</t>
    </rPh>
    <rPh sb="15" eb="16">
      <t>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</si>
  <si>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</si>
  <si>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07508</t>
    <phoneticPr fontId="1"/>
  </si>
  <si>
    <t>携帯番号</t>
    <rPh sb="0" eb="4">
      <t>ケイタイバンゴウ</t>
    </rPh>
    <phoneticPr fontId="1"/>
  </si>
  <si>
    <t>080-5620-9759</t>
    <phoneticPr fontId="1"/>
  </si>
  <si>
    <t>類別番号</t>
    <rPh sb="0" eb="2">
      <t>ルイベツ</t>
    </rPh>
    <rPh sb="2" eb="4">
      <t>バンゴウ</t>
    </rPh>
    <phoneticPr fontId="1"/>
  </si>
  <si>
    <t>0002</t>
    <phoneticPr fontId="1"/>
  </si>
  <si>
    <t>自宅電話番号</t>
    <rPh sb="0" eb="6">
      <t>ジタクデンワバンゴウ</t>
    </rPh>
    <phoneticPr fontId="1"/>
  </si>
  <si>
    <t>初年度</t>
    <rPh sb="0" eb="3">
      <t>ショネンド</t>
    </rPh>
    <phoneticPr fontId="1"/>
  </si>
  <si>
    <t>H9.1</t>
    <phoneticPr fontId="1"/>
  </si>
  <si>
    <t>会社名</t>
    <rPh sb="0" eb="3">
      <t>カイシャメイ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</si>
  <si>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</si>
  <si>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会社郵便番号</t>
    <rPh sb="0" eb="6">
      <t>カイシャユウビンバンゴウ</t>
    </rPh>
    <phoneticPr fontId="1"/>
  </si>
  <si>
    <t>紹介者</t>
    <rPh sb="0" eb="3">
      <t>ショウカイシャ</t>
    </rPh>
    <phoneticPr fontId="1"/>
  </si>
  <si>
    <t>会社住所1</t>
    <rPh sb="0" eb="4">
      <t>カイシャジュウショ</t>
    </rPh>
    <phoneticPr fontId="1"/>
  </si>
  <si>
    <t>担当者</t>
    <rPh sb="0" eb="3">
      <t>タントウシャ</t>
    </rPh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</si>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</sst>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D13" sqref="D13"/>
    </sheetView>
  </sheetViews>
  <sheetFormatPr defaultRowHeight="18.75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>
      <c r="A1" s="26" t="s">
        <v>0</v>
      </c>
      <c r="B1" s="26"/>
      <c r="C1" s="26"/>
      <c r="D1" s="26"/>
    </row>
    <row r="2" spans="1:4">
      <c r="A2" s="12" t="s">
        <v>1</v>
      </c>
      <c r="B2" s="7" t="s">
        <v>2</v>
      </c>
      <c r="C2" s="12" t="s">
        <v>3</v>
      </c>
      <c r="D2" s="2"/>
    </row>
    <row r="3" spans="1:4">
      <c r="A3" s="13" t="s">
        <v>4</v>
      </c>
      <c r="B3" s="8" t="s">
        <v>5</v>
      </c>
      <c r="C3" s="13" t="s">
        <v>6</v>
      </c>
      <c r="D3" s="3"/>
    </row>
    <row r="4" spans="1:4">
      <c r="A4" s="13" t="s">
        <v>7</v>
      </c>
      <c r="B4" s="8" t="s">
        <v>8</v>
      </c>
      <c r="C4" s="13" t="s">
        <v>9</v>
      </c>
      <c r="D4" s="3" t="s">
        <v>10</v>
      </c>
    </row>
    <row r="5" spans="1:4">
      <c r="A5" s="13" t="s">
        <v>11</v>
      </c>
      <c r="B5" s="8" t="s">
        <v>12</v>
      </c>
      <c r="C5" s="13" t="s">
        <v>13</v>
      </c>
      <c r="D5" s="20" t="s">
        <v>14</v>
      </c>
    </row>
    <row r="6" spans="1:4">
      <c r="A6" s="13" t="s">
        <v>15</v>
      </c>
      <c r="B6" s="8" t="s">
        <v>16</v>
      </c>
      <c r="C6" s="18" t="s">
        <v>17</v>
      </c>
      <c r="D6" s="3" t="s">
        <v>18</v>
      </c>
    </row>
    <row r="7" spans="1:4">
      <c r="A7" s="13" t="s">
        <v>19</v>
      </c>
      <c r="B7" s="9" t="s">
        <v>20</v>
      </c>
      <c r="C7" s="18" t="s">
        <v>21</v>
      </c>
      <c r="D7" s="22" t="s">
        <v>22</v>
      </c>
    </row>
    <row r="8" spans="1:4">
      <c r="A8" s="13" t="s">
        <v>23</v>
      </c>
      <c r="B8" s="8" t="s">
        <v>24</v>
      </c>
      <c r="C8" s="18" t="s">
        <v>25</v>
      </c>
      <c r="D8" s="21" t="s">
        <v>26</v>
      </c>
    </row>
    <row r="9" spans="1:4">
      <c r="A9" s="13" t="s">
        <v>27</v>
      </c>
      <c r="B9" s="8"/>
      <c r="C9" s="14" t="s">
        <v>28</v>
      </c>
      <c r="D9" s="6" t="s">
        <v>29</v>
      </c>
    </row>
    <row r="10" spans="1:4">
      <c r="A10" s="16" t="s">
        <v>30</v>
      </c>
      <c r="B10" s="10"/>
      <c r="C10" s="13" t="s">
        <v>31</v>
      </c>
      <c r="D10" s="5">
        <v>46131</v>
      </c>
    </row>
    <row r="11" spans="1:4">
      <c r="A11" s="13" t="s">
        <v>32</v>
      </c>
      <c r="B11" s="10"/>
      <c r="C11" s="13" t="s">
        <v>33</v>
      </c>
      <c r="D11" s="19"/>
    </row>
    <row r="12" spans="1:4" ht="19.5" thickBot="1">
      <c r="A12" s="17" t="s">
        <v>34</v>
      </c>
      <c r="B12" s="11"/>
      <c r="C12" s="15" t="s">
        <v>35</v>
      </c>
      <c r="D12" s="4" t="s">
        <v>36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>
      <c r="A2" t="str">
        <f>IF(顧客名簿!B2="","",顧客名簿!B2)</f>
        <v>0001</v>
      </c>
      <c r="B2" t="str">
        <f>IF(顧客名簿!B3="","",顧客名簿!B3)</f>
        <v>秋住　幸信</v>
      </c>
      <c r="C2" t="str">
        <f>IF(顧客名簿!B4="","",顧客名簿!B4)</f>
        <v>あきずみ　ゆきのぶ</v>
      </c>
      <c r="D2" t="str">
        <f>IF(顧客名簿!B5="","",顧客名簿!B5)</f>
        <v>751-0849</v>
      </c>
      <c r="E2" t="str">
        <f>IF(顧客名簿!B6="","",顧客名簿!B6)</f>
        <v>山口県下関市綾羅木本町</v>
      </c>
      <c r="F2" t="str">
        <f>IF(顧客名簿!B7="","",顧客名簿!B7)</f>
        <v>5-8-6リバティ綾羅木201号</v>
      </c>
      <c r="G2" t="str">
        <f>IF(顧客名簿!B8="","",顧客名簿!B8)</f>
        <v>080-5620-9759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　セリカ</v>
      </c>
      <c r="O2" t="str">
        <f>IF(顧客名簿!D5="","",顧客名簿!D5)</f>
        <v>山口　33　ふ　269</v>
      </c>
      <c r="P2" t="str">
        <f>IF(顧客名簿!D6="","",顧客名簿!D6)</f>
        <v>ST202-0117201</v>
      </c>
      <c r="Q2" t="str">
        <f>IF(顧客名簿!D7="","",顧客名簿!D7)</f>
        <v>07508</v>
      </c>
      <c r="R2" t="str">
        <f>IF(顧客名簿!D8="","",顧客名簿!D8)</f>
        <v>0002</v>
      </c>
      <c r="S2" t="str">
        <f>IF(顧客名簿!D9="","",顧客名簿!D9)</f>
        <v>H9.1</v>
      </c>
      <c r="T2" s="25">
        <f>IF(顧客名簿!D10="","",顧客名簿!D10)</f>
        <v>46131</v>
      </c>
      <c r="U2" s="24" t="str">
        <f>IF(顧客名簿!D11="","",顧客名簿!D11)</f>
        <v/>
      </c>
      <c r="V2" s="24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研二 岡本</dc:creator>
  <cp:keywords/>
  <dc:description/>
  <cp:lastModifiedBy>ゲスト ユーザー</cp:lastModifiedBy>
  <cp:revision/>
  <dcterms:created xsi:type="dcterms:W3CDTF">2024-07-10T08:58:02Z</dcterms:created>
  <dcterms:modified xsi:type="dcterms:W3CDTF">2025-08-06T10:41:55Z</dcterms:modified>
  <cp:category/>
  <cp:contentStatus/>
</cp:coreProperties>
</file>