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顧客フォルダ/0195だて伊達裕司様(ｾﾚﾅ)/"/>
    </mc:Choice>
  </mc:AlternateContent>
  <xr:revisionPtr revIDLastSave="53" documentId="13_ncr:1_{2162476F-CA24-49B5-8D7A-4B7C6B7A7835}" xr6:coauthVersionLast="47" xr6:coauthVersionMax="47" xr10:uidLastSave="{C7522BC1-3C1C-4EDF-B9CD-A0BDDCCDE077}"/>
  <bookViews>
    <workbookView xWindow="45" yWindow="1065" windowWidth="10200" windowHeight="951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<sst xmlns="http://schemas.openxmlformats.org/spreadsheetml/2006/main" count="35" uniqueCount="35">
  <si>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</si>
  <si>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</si>
  <si>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</si>
  <si>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</si>
  <si>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</si>
  <si>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</si>
  <si>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</si>
  <si>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</si>
  <si>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</si>
  <si>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</si>
  <si>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</si>
  <si>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</si>
  <si>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</si>
  <si>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</si>
  <si>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</si>
  <si>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</si>
  <si>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</si>
  <si>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</si>
  <si>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</si>
  <si>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</si>
  <si>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</si>
  <si>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</si>
  <si>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</si>
  <si>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0195</t>
    <phoneticPr fontId="1"/>
  </si>
  <si>
    <t>伊達　裕司</t>
    <rPh sb="0" eb="2">
      <t>ダテ</t>
    </rPh>
    <rPh sb="3" eb="5">
      <t>ユウジ</t>
    </rPh>
    <phoneticPr fontId="1"/>
  </si>
  <si>
    <t>だてゆうじ</t>
    <phoneticPr fontId="1"/>
  </si>
  <si>
    <t>751-0833</t>
    <phoneticPr fontId="1"/>
  </si>
  <si>
    <t>山口県下関市武久町</t>
    <rPh sb="0" eb="9">
      <t>751-0833</t>
    </rPh>
    <phoneticPr fontId="1"/>
  </si>
  <si>
    <t>1丁目43-10</t>
    <rPh sb="1" eb="3">
      <t>チョウメ</t>
    </rPh>
    <phoneticPr fontId="1"/>
  </si>
  <si>
    <t>ニッサンセレナ</t>
    <phoneticPr fontId="1"/>
  </si>
  <si>
    <t>下関330た7023</t>
    <rPh sb="0" eb="2">
      <t>シモノセキ</t>
    </rPh>
    <phoneticPr fontId="1"/>
  </si>
  <si>
    <t>HFC26-259753</t>
    <phoneticPr fontId="1"/>
  </si>
  <si>
    <t>17324</t>
    <phoneticPr fontId="1"/>
  </si>
  <si>
    <t>0138</t>
    <phoneticPr fontId="1"/>
  </si>
  <si>
    <t>H27.1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</si>
</sst>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D11" sqref="D11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23</v>
      </c>
      <c r="C2" s="11" t="s">
        <v>10</v>
      </c>
      <c r="D2" s="2"/>
    </row>
    <row r="3" spans="1:4" x14ac:dyDescent="0.4">
      <c r="A3" s="12" t="s">
        <v>1</v>
      </c>
      <c r="B3" s="8" t="s">
        <v>24</v>
      </c>
      <c r="C3" s="12" t="s">
        <v>11</v>
      </c>
      <c r="D3" s="3"/>
    </row>
    <row r="4" spans="1:4" x14ac:dyDescent="0.4">
      <c r="A4" s="12" t="s">
        <v>2</v>
      </c>
      <c r="B4" s="8" t="s">
        <v>25</v>
      </c>
      <c r="C4" s="12" t="s">
        <v>18</v>
      </c>
      <c r="D4" s="3" t="s">
        <v>29</v>
      </c>
    </row>
    <row r="5" spans="1:4" x14ac:dyDescent="0.4">
      <c r="A5" s="12" t="s">
        <v>14</v>
      </c>
      <c r="B5" s="8" t="s">
        <v>26</v>
      </c>
      <c r="C5" s="12" t="s">
        <v>20</v>
      </c>
      <c r="D5" s="18" t="s">
        <v>30</v>
      </c>
    </row>
    <row r="6" spans="1:4" x14ac:dyDescent="0.4">
      <c r="A6" s="12" t="s">
        <v>3</v>
      </c>
      <c r="B6" s="8" t="s">
        <v>27</v>
      </c>
      <c r="C6" s="17" t="s">
        <v>21</v>
      </c>
      <c r="D6" s="3" t="s">
        <v>31</v>
      </c>
    </row>
    <row r="7" spans="1:4" x14ac:dyDescent="0.4">
      <c r="A7" s="12" t="s">
        <v>4</v>
      </c>
      <c r="B7" s="9" t="s">
        <v>28</v>
      </c>
      <c r="C7" s="26" t="s">
        <v>22</v>
      </c>
      <c r="D7" s="22" t="s">
        <v>32</v>
      </c>
    </row>
    <row r="8" spans="1:4" x14ac:dyDescent="0.4">
      <c r="A8" s="12" t="s">
        <v>5</v>
      </c>
      <c r="B8" s="8"/>
      <c r="C8" s="17" t="s">
        <v>19</v>
      </c>
      <c r="D8" s="23" t="s">
        <v>33</v>
      </c>
    </row>
    <row r="9" spans="1:4" x14ac:dyDescent="0.4">
      <c r="A9" s="12" t="s">
        <v>6</v>
      </c>
      <c r="B9" s="8"/>
      <c r="C9" s="13" t="s">
        <v>16</v>
      </c>
      <c r="D9" s="6" t="s">
        <v>34</v>
      </c>
    </row>
    <row r="10" spans="1:4" x14ac:dyDescent="0.4">
      <c r="A10" s="15" t="s">
        <v>7</v>
      </c>
      <c r="B10" s="10"/>
      <c r="C10" s="12" t="s">
        <v>12</v>
      </c>
      <c r="D10" s="5">
        <v>46119</v>
      </c>
    </row>
    <row r="11" spans="1:4" x14ac:dyDescent="0.4">
      <c r="A11" s="12" t="s">
        <v>8</v>
      </c>
      <c r="B11" s="10"/>
      <c r="C11" s="12" t="s">
        <v>13</v>
      </c>
      <c r="D11" s="24"/>
    </row>
    <row r="12" spans="1:4" ht="19.5" thickBot="1" x14ac:dyDescent="0.45">
      <c r="A12" s="16" t="s">
        <v>9</v>
      </c>
      <c r="B12" s="25"/>
      <c r="C12" s="14" t="s">
        <v>17</v>
      </c>
      <c r="D12" s="4"/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0195</v>
      </c>
      <c r="B2" t="str">
        <f>IF(顧客名簿!B3="","",顧客名簿!B3)</f>
        <v>伊達　裕司</v>
      </c>
      <c r="C2" t="str">
        <f>IF(顧客名簿!B4="","",顧客名簿!B4)</f>
        <v>だてゆうじ</v>
      </c>
      <c r="D2" t="str">
        <f>IF(顧客名簿!B5="","",顧客名簿!B5)</f>
        <v>751-0833</v>
      </c>
      <c r="E2" t="str">
        <f>IF(顧客名簿!B6="","",顧客名簿!B6)</f>
        <v>山口県下関市武久町</v>
      </c>
      <c r="F2" t="str">
        <f>IF(顧客名簿!B7="","",顧客名簿!B7)</f>
        <v>1丁目43-10</v>
      </c>
      <c r="G2" t="str">
        <f>IF(顧客名簿!B8="","",顧客名簿!B8)</f>
        <v/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ニッサンセレナ</v>
      </c>
      <c r="O2" t="str">
        <f>IF(顧客名簿!D5="","",顧客名簿!D5)</f>
        <v>下関330た7023</v>
      </c>
      <c r="P2" t="str">
        <f>IF(顧客名簿!D6="","",顧客名簿!D6)</f>
        <v>HFC26-259753</v>
      </c>
      <c r="Q2" t="str">
        <f>IF(顧客名簿!D7="","",顧客名簿!D7)</f>
        <v>17324</v>
      </c>
      <c r="R2" t="str">
        <f>IF(顧客名簿!D8="","",顧客名簿!D8)</f>
        <v>0138</v>
      </c>
      <c r="S2" t="str">
        <f>IF(顧客名簿!D9="","",顧客名簿!D9)</f>
        <v>H27.1</v>
      </c>
      <c r="T2" s="21">
        <f>IF(顧客名簿!D10="","",顧客名簿!D10)</f>
        <v>46119</v>
      </c>
      <c r="U2" s="20" t="str">
        <f>IF(顧客名簿!D11="","",顧客名簿!D11)</f>
        <v/>
      </c>
      <c r="V2" s="20" t="str">
        <f>IF(顧客名簿!D12="","",顧客名簿!D12)</f>
        <v/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2024-10-24T04:01:34Z</dcterms:modified>
</cp:coreProperties>
</file>