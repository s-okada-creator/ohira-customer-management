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50むらた村田様(ADﾊﾞﾝ)/"/>
    </mc:Choice>
  </mc:AlternateContent>
  <xr:revisionPtr revIDLastSave="26" documentId="13_ncr:1_{1CB85908-E75D-46F2-8CB1-CB28FE68B0DB}" xr6:coauthVersionLast="47" xr6:coauthVersionMax="47" xr10:uidLastSave="{004F22CA-9139-44DD-A7E3-0C87287D083F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<sst xmlns="http://schemas.openxmlformats.org/spreadsheetml/2006/main" count="72" uniqueCount="45">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</sst>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50&#12416;&#12425;&#12383;&#26449;&#30000;&#27096;(AD&#65418;&#65438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上杉　健太</v>
          </cell>
        </row>
        <row r="4">
          <cell r="D4" t="str">
            <v>ニッサンADバン</v>
          </cell>
        </row>
        <row r="5">
          <cell r="D5" t="str">
            <v>下関400さ7469</v>
          </cell>
        </row>
        <row r="6">
          <cell r="B6" t="str">
            <v>山口県下関市熊野町</v>
          </cell>
          <cell r="D6" t="str">
            <v>VAY12-055298</v>
          </cell>
        </row>
        <row r="7">
          <cell r="B7" t="str">
            <v>２丁目17-23</v>
          </cell>
          <cell r="D7" t="str">
            <v>16611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57"/>
      <c r="H2" s="57"/>
    </row>
    <row r="3" spans="1:8" ht="25.5" x14ac:dyDescent="0.4">
      <c r="A3" s="7" t="s">
        <v>27</v>
      </c>
      <c r="B3" s="58" t="str">
        <f>[1]顧客名簿!$B$3</f>
        <v>上杉　健太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山口県下関市熊野町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２丁目17-23</v>
      </c>
      <c r="C5" s="63"/>
      <c r="D5" s="6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ニッサンADバン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16611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下関400さ7469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VAY12-055298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5">
        <f>見積書!G2</f>
        <v>0</v>
      </c>
      <c r="H2" s="65"/>
    </row>
    <row r="3" spans="1:8" ht="25.5" x14ac:dyDescent="0.4">
      <c r="A3" s="7" t="s">
        <v>27</v>
      </c>
      <c r="B3" s="58" t="str">
        <f>[1]顧客名簿!$B$3</f>
        <v>上杉　健太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山口県下関市熊野町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２丁目17-23</v>
      </c>
      <c r="C5" s="63"/>
      <c r="D5" s="6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ニッサンADバン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16611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下関400さ7469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VAY12-055298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6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4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4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4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4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4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4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4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4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4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4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4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4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4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4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4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4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4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4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7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8">
        <f>SUM(G16:H35)</f>
        <v>0</v>
      </c>
      <c r="H36" s="6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70">
        <f>SUM(G36:H37)</f>
        <v>0</v>
      </c>
      <c r="H38" s="71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上杉　健太</v>
      </c>
      <c r="C2" s="21" t="str">
        <f>請求書!B4</f>
        <v>山口県下関市熊野町</v>
      </c>
      <c r="D2" s="21" t="str">
        <f>請求書!B5</f>
        <v>２丁目17-23</v>
      </c>
      <c r="E2" s="21">
        <f>請求書!B6</f>
        <v>0</v>
      </c>
      <c r="F2" s="21" t="str">
        <f>請求書!B8</f>
        <v>ニッサンADバン</v>
      </c>
      <c r="G2" s="21" t="str">
        <f>請求書!B9</f>
        <v>16611</v>
      </c>
      <c r="H2" s="21" t="str">
        <f>請求書!B10</f>
        <v>下関400さ7469</v>
      </c>
      <c r="I2" s="20" t="str">
        <f>請求書!B11</f>
        <v>VAY12-055298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2025-07-22T04:44:12Z</dcterms:modified>
</cp:coreProperties>
</file>