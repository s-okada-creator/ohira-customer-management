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45こざ古座秀雄様(ﾐﾆｶ)/"/>
    </mc:Choice>
  </mc:AlternateContent>
  <xr:revisionPtr revIDLastSave="57" documentId="13_ncr:1_{2162476F-CA24-49B5-8D7A-4B7C6B7A7835}" xr6:coauthVersionLast="47" xr6:coauthVersionMax="47" xr10:uidLastSave="{DD58396A-E38D-4112-929F-16CEC8C78374}"/>
  <bookViews>
    <workbookView xWindow="30" yWindow="12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<sst xmlns="http://schemas.openxmlformats.org/spreadsheetml/2006/main" count="37" uniqueCount="37">
  <si>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</si>
  <si>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</si>
  <si>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</si>
  <si>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</si>
  <si>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</si>
  <si>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</si>
  <si>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</si>
  <si>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</si>
  <si>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</si>
  <si>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</si>
  <si>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</si>
  <si>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</si>
  <si>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</si>
  <si>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</si>
  <si>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</si>
  <si>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</si>
  <si>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</si>
  <si>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</si>
  <si>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</si>
  <si>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</si>
  <si>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</si>
  <si>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</si>
  <si>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</si>
  <si>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0145</t>
    <phoneticPr fontId="1"/>
  </si>
  <si>
    <t>古座　秀雄</t>
    <rPh sb="0" eb="2">
      <t>コザ</t>
    </rPh>
    <rPh sb="3" eb="5">
      <t>ヒデオ</t>
    </rPh>
    <phoneticPr fontId="1"/>
  </si>
  <si>
    <t>こざひでお</t>
    <phoneticPr fontId="1"/>
  </si>
  <si>
    <t>750-0009</t>
    <phoneticPr fontId="1"/>
  </si>
  <si>
    <t>山口県下関市上田中町</t>
    <rPh sb="0" eb="10">
      <t>750-0009</t>
    </rPh>
    <phoneticPr fontId="1"/>
  </si>
  <si>
    <t>１丁目25-10</t>
    <rPh sb="1" eb="3">
      <t>チョウメ</t>
    </rPh>
    <phoneticPr fontId="1"/>
  </si>
  <si>
    <t>083-232-8588</t>
    <phoneticPr fontId="1"/>
  </si>
  <si>
    <t>三菱ミニカ</t>
    <rPh sb="0" eb="2">
      <t>ミツビシ</t>
    </rPh>
    <phoneticPr fontId="1"/>
  </si>
  <si>
    <t>下関480い97</t>
    <rPh sb="0" eb="2">
      <t>シモノセキ</t>
    </rPh>
    <phoneticPr fontId="1"/>
  </si>
  <si>
    <t>H42-1426643</t>
    <phoneticPr fontId="1"/>
  </si>
  <si>
    <t>15486</t>
    <phoneticPr fontId="1"/>
  </si>
  <si>
    <t>0026</t>
    <phoneticPr fontId="1"/>
  </si>
  <si>
    <t>H21</t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</si>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</sst>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/>
      <c r="C8" s="17" t="s">
        <v>19</v>
      </c>
      <c r="D8" s="23" t="s">
        <v>34</v>
      </c>
    </row>
    <row r="9" spans="1:4" x14ac:dyDescent="0.4">
      <c r="A9" s="12" t="s">
        <v>6</v>
      </c>
      <c r="B9" s="8" t="s">
        <v>29</v>
      </c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44284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0145</v>
      </c>
      <c r="B2" t="str">
        <f>IF(顧客名簿!B3="","",顧客名簿!B3)</f>
        <v>古座　秀雄</v>
      </c>
      <c r="C2" t="str">
        <f>IF(顧客名簿!B4="","",顧客名簿!B4)</f>
        <v>こざひでお</v>
      </c>
      <c r="D2" t="str">
        <f>IF(顧客名簿!B5="","",顧客名簿!B5)</f>
        <v>750-0009</v>
      </c>
      <c r="E2" t="str">
        <f>IF(顧客名簿!B6="","",顧客名簿!B6)</f>
        <v>山口県下関市上田中町</v>
      </c>
      <c r="F2" t="str">
        <f>IF(顧客名簿!B7="","",顧客名簿!B7)</f>
        <v>１丁目25-10</v>
      </c>
      <c r="G2" t="str">
        <f>IF(顧客名簿!B8="","",顧客名簿!B8)</f>
        <v/>
      </c>
      <c r="H2" t="str">
        <f>IF(顧客名簿!B9="","",顧客名簿!B9)</f>
        <v>083-232-8588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三菱ミニカ</v>
      </c>
      <c r="O2" t="str">
        <f>IF(顧客名簿!D5="","",顧客名簿!D5)</f>
        <v>下関480い97</v>
      </c>
      <c r="P2" t="str">
        <f>IF(顧客名簿!D6="","",顧客名簿!D6)</f>
        <v>H42-1426643</v>
      </c>
      <c r="Q2" t="str">
        <f>IF(顧客名簿!D7="","",顧客名簿!D7)</f>
        <v>15486</v>
      </c>
      <c r="R2" t="str">
        <f>IF(顧客名簿!D8="","",顧客名簿!D8)</f>
        <v>0026</v>
      </c>
      <c r="S2" t="str">
        <f>IF(顧客名簿!D9="","",顧客名簿!D9)</f>
        <v>H21</v>
      </c>
      <c r="T2" s="21">
        <f>IF(顧客名簿!D10="","",顧客名簿!D10)</f>
        <v>44284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2024-10-14T06:03:09Z</dcterms:modified>
</cp:coreProperties>
</file>