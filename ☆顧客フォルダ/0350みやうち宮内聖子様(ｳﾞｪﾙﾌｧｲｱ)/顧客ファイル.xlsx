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0みやうち宮内聖子様(ｳﾞｪﾙﾌｧｲｱ)/"/>
    </mc:Choice>
  </mc:AlternateContent>
  <xr:revisionPtr revIDLastSave="64" documentId="13_ncr:1_{2162476F-CA24-49B5-8D7A-4B7C6B7A7835}" xr6:coauthVersionLast="47" xr6:coauthVersionMax="47" xr10:uidLastSave="{63A1EFEF-931F-4C59-8188-D1A65E7DD1DC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<sst xmlns="http://schemas.openxmlformats.org/spreadsheetml/2006/main" count="35" uniqueCount="35">
  <si>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</si>
  <si>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</si>
  <si>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</si>
  <si>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</si>
  <si>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</si>
  <si>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</si>
  <si>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</si>
  <si>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</si>
  <si>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</si>
  <si>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</si>
  <si>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</si>
  <si>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</si>
  <si>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</si>
  <si>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</si>
  <si>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</si>
  <si>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</si>
  <si>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</si>
  <si>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</si>
  <si>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</si>
  <si>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</si>
  <si>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</si>
  <si>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</si>
  <si>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</si>
  <si>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0350</t>
    <phoneticPr fontId="1"/>
  </si>
  <si>
    <t>宮内　聖子</t>
    <rPh sb="0" eb="2">
      <t>ミヤウチ</t>
    </rPh>
    <rPh sb="3" eb="5">
      <t>セイコ</t>
    </rPh>
    <phoneticPr fontId="1"/>
  </si>
  <si>
    <t>みやうちせいこ</t>
    <phoneticPr fontId="1"/>
  </si>
  <si>
    <t>トヨタヴェルファイア</t>
    <phoneticPr fontId="1"/>
  </si>
  <si>
    <t>AGH30-0082005</t>
    <phoneticPr fontId="1"/>
  </si>
  <si>
    <t>17977</t>
    <phoneticPr fontId="1"/>
  </si>
  <si>
    <t>0051</t>
    <phoneticPr fontId="1"/>
  </si>
  <si>
    <t>H28.8</t>
    <phoneticPr fontId="1"/>
  </si>
  <si>
    <t>750-0049</t>
    <phoneticPr fontId="1"/>
  </si>
  <si>
    <t>山口県下関市栄町</t>
    <rPh sb="0" eb="8">
      <t>750-0049</t>
    </rPh>
    <phoneticPr fontId="1"/>
  </si>
  <si>
    <t>10-10-202</t>
    <phoneticPr fontId="1"/>
  </si>
  <si>
    <t>下関330り44-44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</si>
</sst>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31</v>
      </c>
      <c r="C5" s="12" t="s">
        <v>20</v>
      </c>
      <c r="D5" s="18" t="s">
        <v>34</v>
      </c>
    </row>
    <row r="6" spans="1:4" x14ac:dyDescent="0.4">
      <c r="A6" s="12" t="s">
        <v>3</v>
      </c>
      <c r="B6" s="8" t="s">
        <v>32</v>
      </c>
      <c r="C6" s="17" t="s">
        <v>21</v>
      </c>
      <c r="D6" s="3" t="s">
        <v>27</v>
      </c>
    </row>
    <row r="7" spans="1:4" x14ac:dyDescent="0.4">
      <c r="A7" s="12" t="s">
        <v>4</v>
      </c>
      <c r="B7" s="9" t="s">
        <v>33</v>
      </c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46619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0350</v>
      </c>
      <c r="B2" t="str">
        <f>IF(顧客名簿!B3="","",顧客名簿!B3)</f>
        <v>宮内　聖子</v>
      </c>
      <c r="C2" t="str">
        <f>IF(顧客名簿!B4="","",顧客名簿!B4)</f>
        <v>みやうちせいこ</v>
      </c>
      <c r="D2" t="str">
        <f>IF(顧客名簿!B5="","",顧客名簿!B5)</f>
        <v>750-0049</v>
      </c>
      <c r="E2" t="str">
        <f>IF(顧客名簿!B6="","",顧客名簿!B6)</f>
        <v>山口県下関市栄町</v>
      </c>
      <c r="F2" t="str">
        <f>IF(顧客名簿!B7="","",顧客名簿!B7)</f>
        <v>10-10-202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トヨタヴェルファイア</v>
      </c>
      <c r="O2" t="str">
        <f>IF(顧客名簿!D5="","",顧客名簿!D5)</f>
        <v>下関330り44-44</v>
      </c>
      <c r="P2" t="str">
        <f>IF(顧客名簿!D6="","",顧客名簿!D6)</f>
        <v>AGH30-0082005</v>
      </c>
      <c r="Q2" t="str">
        <f>IF(顧客名簿!D7="","",顧客名簿!D7)</f>
        <v>17977</v>
      </c>
      <c r="R2" t="str">
        <f>IF(顧客名簿!D8="","",顧客名簿!D8)</f>
        <v>0051</v>
      </c>
      <c r="S2" t="str">
        <f>IF(顧客名簿!D9="","",顧客名簿!D9)</f>
        <v>H28.8</v>
      </c>
      <c r="T2" s="21">
        <f>IF(顧客名簿!D10="","",顧客名簿!D10)</f>
        <v>46619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2025-07-29T01:19:24Z</dcterms:modified>
</cp:coreProperties>
</file>