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1あおき青木えみ様(ﾊﾟﾚｯﾄ)/"/>
    </mc:Choice>
  </mc:AlternateContent>
  <xr:revisionPtr revIDLastSave="2" documentId="13_ncr:1_{8B8C50E1-AB03-46A4-B498-0A9112D3A986}" xr6:coauthVersionLast="47" xr6:coauthVersionMax="47" xr10:uidLastSave="{C8CD6919-CC5F-4E88-91B3-D1F48CEC88BC}"/>
  <bookViews>
    <workbookView xWindow="780" yWindow="78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<sst xmlns="http://schemas.openxmlformats.org/spreadsheetml/2006/main" count="37" uniqueCount="37">
  <si>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</si>
  <si>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</si>
  <si>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</si>
  <si>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</si>
  <si>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</si>
  <si>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</si>
  <si>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</si>
  <si>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</si>
  <si>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</si>
  <si>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</si>
  <si>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</si>
  <si>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</si>
  <si>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</si>
  <si>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</si>
  <si>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</si>
  <si>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</si>
  <si>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</si>
  <si>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</si>
  <si>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</si>
  <si>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</si>
  <si>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</si>
  <si>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0011</t>
    <phoneticPr fontId="1"/>
  </si>
  <si>
    <t>青木えみ</t>
    <rPh sb="0" eb="2">
      <t>アオキ</t>
    </rPh>
    <phoneticPr fontId="1"/>
  </si>
  <si>
    <t>あおきえみ</t>
    <phoneticPr fontId="1"/>
  </si>
  <si>
    <t>752-0944</t>
    <phoneticPr fontId="1"/>
  </si>
  <si>
    <t>山口県下関市長府中六波町</t>
    <rPh sb="0" eb="12">
      <t>752-0944</t>
    </rPh>
    <phoneticPr fontId="1"/>
  </si>
  <si>
    <t>15R3-105</t>
    <phoneticPr fontId="1"/>
  </si>
  <si>
    <t>080-6326-8584</t>
    <phoneticPr fontId="1"/>
  </si>
  <si>
    <t>スズキ　パレット</t>
    <phoneticPr fontId="1"/>
  </si>
  <si>
    <t>下関580き1164</t>
    <rPh sb="0" eb="2">
      <t>シモノセキ</t>
    </rPh>
    <phoneticPr fontId="1"/>
  </si>
  <si>
    <t>MK21S-280408</t>
    <phoneticPr fontId="1"/>
  </si>
  <si>
    <t>16033</t>
    <phoneticPr fontId="1"/>
  </si>
  <si>
    <t>0018</t>
    <phoneticPr fontId="1"/>
  </si>
  <si>
    <t>H25.1</t>
    <phoneticPr fontId="1"/>
  </si>
  <si>
    <t>大平英明</t>
    <rPh sb="0" eb="2">
      <t>オオヒラ</t>
    </rPh>
    <rPh sb="2" eb="4">
      <t>ヒデアキ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</si>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</sst>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selection activeCell="C7" sqref="C7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22</v>
      </c>
      <c r="C3" s="13" t="s">
        <v>11</v>
      </c>
      <c r="D3" s="3"/>
    </row>
    <row r="4" spans="1:4" x14ac:dyDescent="0.4">
      <c r="A4" s="13" t="s">
        <v>2</v>
      </c>
      <c r="B4" s="8" t="s">
        <v>23</v>
      </c>
      <c r="C4" s="13" t="s">
        <v>18</v>
      </c>
      <c r="D4" s="3" t="s">
        <v>28</v>
      </c>
    </row>
    <row r="5" spans="1:4" x14ac:dyDescent="0.4">
      <c r="A5" s="13" t="s">
        <v>14</v>
      </c>
      <c r="B5" s="8" t="s">
        <v>24</v>
      </c>
      <c r="C5" s="13" t="s">
        <v>20</v>
      </c>
      <c r="D5" s="19" t="s">
        <v>29</v>
      </c>
    </row>
    <row r="6" spans="1:4" x14ac:dyDescent="0.4">
      <c r="A6" s="13" t="s">
        <v>3</v>
      </c>
      <c r="B6" s="8" t="s">
        <v>25</v>
      </c>
      <c r="C6" s="18" t="s">
        <v>36</v>
      </c>
      <c r="D6" s="3" t="s">
        <v>30</v>
      </c>
    </row>
    <row r="7" spans="1:4" x14ac:dyDescent="0.4">
      <c r="A7" s="13" t="s">
        <v>4</v>
      </c>
      <c r="B7" s="9" t="s">
        <v>26</v>
      </c>
      <c r="C7" s="18" t="s">
        <v>35</v>
      </c>
      <c r="D7" s="23" t="s">
        <v>31</v>
      </c>
    </row>
    <row r="8" spans="1:4" x14ac:dyDescent="0.4">
      <c r="A8" s="13" t="s">
        <v>5</v>
      </c>
      <c r="B8" s="8" t="s">
        <v>27</v>
      </c>
      <c r="C8" s="18" t="s">
        <v>19</v>
      </c>
      <c r="D8" s="24" t="s">
        <v>32</v>
      </c>
    </row>
    <row r="9" spans="1:4" x14ac:dyDescent="0.4">
      <c r="A9" s="13" t="s">
        <v>6</v>
      </c>
      <c r="B9" s="8"/>
      <c r="C9" s="14" t="s">
        <v>16</v>
      </c>
      <c r="D9" s="6" t="s">
        <v>33</v>
      </c>
    </row>
    <row r="10" spans="1:4" x14ac:dyDescent="0.4">
      <c r="A10" s="16" t="s">
        <v>7</v>
      </c>
      <c r="B10" s="10"/>
      <c r="C10" s="13" t="s">
        <v>12</v>
      </c>
      <c r="D10" s="5">
        <v>45308</v>
      </c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 t="s">
        <v>34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A2" sqref="A2:XFD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0011</v>
      </c>
      <c r="B2" t="str">
        <f>IF(顧客名簿!B3="","",顧客名簿!B3)</f>
        <v>青木えみ</v>
      </c>
      <c r="C2" t="str">
        <f>IF(顧客名簿!B4="","",顧客名簿!B4)</f>
        <v>あおきえみ</v>
      </c>
      <c r="D2" t="str">
        <f>IF(顧客名簿!B5="","",顧客名簿!B5)</f>
        <v>752-0944</v>
      </c>
      <c r="E2" t="str">
        <f>IF(顧客名簿!B6="","",顧客名簿!B6)</f>
        <v>山口県下関市長府中六波町</v>
      </c>
      <c r="F2" t="str">
        <f>IF(顧客名簿!B7="","",顧客名簿!B7)</f>
        <v>15R3-105</v>
      </c>
      <c r="G2" t="str">
        <f>IF(顧客名簿!B8="","",顧客名簿!B8)</f>
        <v>080-6326-8584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　パレット</v>
      </c>
      <c r="O2" t="str">
        <f>IF(顧客名簿!D5="","",顧客名簿!D5)</f>
        <v>下関580き1164</v>
      </c>
      <c r="P2" t="str">
        <f>IF(顧客名簿!D6="","",顧客名簿!D6)</f>
        <v>MK21S-280408</v>
      </c>
      <c r="Q2" t="str">
        <f>IF(顧客名簿!D7="","",顧客名簿!D7)</f>
        <v>16033</v>
      </c>
      <c r="R2" t="str">
        <f>IF(顧客名簿!D8="","",顧客名簿!D8)</f>
        <v>0018</v>
      </c>
      <c r="S2" t="str">
        <f>IF(顧客名簿!D9="","",顧客名簿!D9)</f>
        <v>H25.1</v>
      </c>
      <c r="T2" s="22">
        <f>IF(顧客名簿!D10="","",顧客名簿!D10)</f>
        <v>45308</v>
      </c>
      <c r="U2" s="21" t="str">
        <f>IF(顧客名簿!D11="","",顧客名簿!D11)</f>
        <v/>
      </c>
      <c r="V2" s="21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2025-06-20T04:48:13Z</dcterms:modified>
</cp:coreProperties>
</file>