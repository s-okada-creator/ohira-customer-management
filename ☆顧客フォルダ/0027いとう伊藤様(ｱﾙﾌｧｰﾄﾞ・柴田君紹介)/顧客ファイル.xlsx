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27いとう伊藤様(ｱﾙﾌｧｰﾄﾞ・柴田君紹介)/"/>
    </mc:Choice>
  </mc:AlternateContent>
  <xr:revisionPtr revIDLastSave="29" documentId="13_ncr:1_{68D8FAAB-9449-4688-A93A-2F5E93382682}" xr6:coauthVersionLast="47" xr6:coauthVersionMax="47" xr10:uidLastSave="{0D0F18F3-92A4-4502-9F45-62C4EFFF1E9F}"/>
  <bookViews>
    <workbookView xWindow="660" yWindow="3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<sst xmlns="http://schemas.openxmlformats.org/spreadsheetml/2006/main" count="38" uniqueCount="38">
  <si>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</si>
  <si>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</si>
  <si>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</si>
  <si>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</si>
  <si>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</si>
  <si>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</si>
  <si>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</si>
  <si>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</si>
  <si>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</si>
  <si>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</si>
  <si>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</si>
  <si>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</si>
  <si>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</si>
  <si>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</si>
  <si>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</si>
  <si>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</si>
  <si>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</si>
  <si>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</si>
  <si>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</si>
  <si>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</si>
  <si>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</si>
  <si>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</si>
  <si>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</si>
  <si>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0027</t>
    <phoneticPr fontId="1"/>
  </si>
  <si>
    <t>伊藤大倫</t>
    <rPh sb="0" eb="2">
      <t>イトウ</t>
    </rPh>
    <rPh sb="2" eb="4">
      <t>ダイリン</t>
    </rPh>
    <phoneticPr fontId="1"/>
  </si>
  <si>
    <t>080-5621-0281</t>
    <phoneticPr fontId="1"/>
  </si>
  <si>
    <t>下関334さ6</t>
    <rPh sb="0" eb="2">
      <t>シモノセキ</t>
    </rPh>
    <phoneticPr fontId="1"/>
  </si>
  <si>
    <t>トヨタアルファード</t>
    <phoneticPr fontId="1"/>
  </si>
  <si>
    <t>AGH30-0358473</t>
    <phoneticPr fontId="1"/>
  </si>
  <si>
    <t>19553</t>
    <phoneticPr fontId="1"/>
  </si>
  <si>
    <t>0211</t>
    <phoneticPr fontId="1"/>
  </si>
  <si>
    <t>R3.1</t>
    <phoneticPr fontId="1"/>
  </si>
  <si>
    <t>柴田君紹介</t>
    <rPh sb="0" eb="3">
      <t>シバタクン</t>
    </rPh>
    <rPh sb="3" eb="5">
      <t>ショウカイ</t>
    </rPh>
    <phoneticPr fontId="1"/>
  </si>
  <si>
    <t>大平英明</t>
    <rPh sb="0" eb="2">
      <t>オオヒラ</t>
    </rPh>
    <rPh sb="2" eb="4">
      <t>ヒデアキ</t>
    </rPh>
    <phoneticPr fontId="1"/>
  </si>
  <si>
    <t>いとうだいりん</t>
    <phoneticPr fontId="1"/>
  </si>
  <si>
    <t>752-0986</t>
    <phoneticPr fontId="1"/>
  </si>
  <si>
    <t>山口県下関市長府黒門東町</t>
    <rPh sb="0" eb="12">
      <t>752-0986</t>
    </rPh>
    <phoneticPr fontId="1"/>
  </si>
  <si>
    <t>3-C-202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</si>
</sst>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34</v>
      </c>
      <c r="C4" s="13" t="s">
        <v>18</v>
      </c>
      <c r="D4" s="3" t="s">
        <v>27</v>
      </c>
    </row>
    <row r="5" spans="1:4" x14ac:dyDescent="0.4">
      <c r="A5" s="13" t="s">
        <v>14</v>
      </c>
      <c r="B5" s="8" t="s">
        <v>35</v>
      </c>
      <c r="C5" s="13" t="s">
        <v>20</v>
      </c>
      <c r="D5" s="20" t="s">
        <v>26</v>
      </c>
    </row>
    <row r="6" spans="1:4" x14ac:dyDescent="0.4">
      <c r="A6" s="13" t="s">
        <v>3</v>
      </c>
      <c r="B6" s="8" t="s">
        <v>36</v>
      </c>
      <c r="C6" s="18" t="s">
        <v>22</v>
      </c>
      <c r="D6" s="3" t="s">
        <v>28</v>
      </c>
    </row>
    <row r="7" spans="1:4" x14ac:dyDescent="0.4">
      <c r="A7" s="13" t="s">
        <v>4</v>
      </c>
      <c r="B7" s="9" t="s">
        <v>37</v>
      </c>
      <c r="C7" s="18" t="s">
        <v>21</v>
      </c>
      <c r="D7" s="22" t="s">
        <v>29</v>
      </c>
    </row>
    <row r="8" spans="1:4" x14ac:dyDescent="0.4">
      <c r="A8" s="13" t="s">
        <v>5</v>
      </c>
      <c r="B8" s="8" t="s">
        <v>25</v>
      </c>
      <c r="C8" s="18" t="s">
        <v>19</v>
      </c>
      <c r="D8" s="21" t="s">
        <v>30</v>
      </c>
    </row>
    <row r="9" spans="1:4" x14ac:dyDescent="0.4">
      <c r="A9" s="13" t="s">
        <v>6</v>
      </c>
      <c r="B9" s="8"/>
      <c r="C9" s="14" t="s">
        <v>16</v>
      </c>
      <c r="D9" s="6" t="s">
        <v>31</v>
      </c>
    </row>
    <row r="10" spans="1:4" x14ac:dyDescent="0.4">
      <c r="A10" s="16" t="s">
        <v>7</v>
      </c>
      <c r="B10" s="10"/>
      <c r="C10" s="13" t="s">
        <v>12</v>
      </c>
      <c r="D10" s="5">
        <v>46037</v>
      </c>
    </row>
    <row r="11" spans="1:4" x14ac:dyDescent="0.4">
      <c r="A11" s="13" t="s">
        <v>8</v>
      </c>
      <c r="B11" s="10"/>
      <c r="C11" s="13" t="s">
        <v>13</v>
      </c>
      <c r="D11" s="19" t="s">
        <v>32</v>
      </c>
    </row>
    <row r="12" spans="1:4" ht="19.5" thickBot="1" x14ac:dyDescent="0.45">
      <c r="A12" s="17" t="s">
        <v>9</v>
      </c>
      <c r="B12" s="11"/>
      <c r="C12" s="15" t="s">
        <v>17</v>
      </c>
      <c r="D12" s="4" t="s">
        <v>33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0027</v>
      </c>
      <c r="B2" t="str">
        <f>IF(顧客名簿!B3="","",顧客名簿!B3)</f>
        <v>伊藤大倫</v>
      </c>
      <c r="C2" t="str">
        <f>IF(顧客名簿!B4="","",顧客名簿!B4)</f>
        <v>いとうだいりん</v>
      </c>
      <c r="D2" t="str">
        <f>IF(顧客名簿!B5="","",顧客名簿!B5)</f>
        <v>752-0986</v>
      </c>
      <c r="E2" t="str">
        <f>IF(顧客名簿!B6="","",顧客名簿!B6)</f>
        <v>山口県下関市長府黒門東町</v>
      </c>
      <c r="F2" t="str">
        <f>IF(顧客名簿!B7="","",顧客名簿!B7)</f>
        <v>3-C-202</v>
      </c>
      <c r="G2" t="str">
        <f>IF(顧客名簿!B8="","",顧客名簿!B8)</f>
        <v>080-5621-0281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>下関334さ6</v>
      </c>
      <c r="P2" t="str">
        <f>IF(顧客名簿!D6="","",顧客名簿!D6)</f>
        <v>AGH30-0358473</v>
      </c>
      <c r="Q2" t="str">
        <f>IF(顧客名簿!D7="","",顧客名簿!D7)</f>
        <v>19553</v>
      </c>
      <c r="R2" t="str">
        <f>IF(顧客名簿!D8="","",顧客名簿!D8)</f>
        <v>0211</v>
      </c>
      <c r="S2" t="str">
        <f>IF(顧客名簿!D9="","",顧客名簿!D9)</f>
        <v>R3.1</v>
      </c>
      <c r="T2" s="25">
        <f>IF(顧客名簿!D10="","",顧客名簿!D10)</f>
        <v>46037</v>
      </c>
      <c r="U2" s="24" t="str">
        <f>IF(顧客名簿!D11="","",顧客名簿!D11)</f>
        <v>柴田君紹介</v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2024-11-05T06:09:51Z</dcterms:modified>
</cp:coreProperties>
</file>