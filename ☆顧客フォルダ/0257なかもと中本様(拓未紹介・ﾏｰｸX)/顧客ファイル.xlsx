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57なかもと中本拓人様(ﾏｰｸX)/"/>
    </mc:Choice>
  </mc:AlternateContent>
  <xr:revisionPtr revIDLastSave="66" documentId="13_ncr:1_{2162476F-CA24-49B5-8D7A-4B7C6B7A7835}" xr6:coauthVersionLast="47" xr6:coauthVersionMax="47" xr10:uidLastSave="{3CF01AF4-9600-4976-B0CC-799288CE560D}"/>
  <bookViews>
    <workbookView xWindow="-375" yWindow="55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<sst xmlns="http://schemas.openxmlformats.org/spreadsheetml/2006/main" count="37" uniqueCount="37">
  <si>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</si>
  <si>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</si>
  <si>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</si>
  <si>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</si>
  <si>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</si>
  <si>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</si>
  <si>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</si>
  <si>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</si>
  <si>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</si>
  <si>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</si>
  <si>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</si>
  <si>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</si>
  <si>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</si>
  <si>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</si>
  <si>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</si>
  <si>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</si>
  <si>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</si>
  <si>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</si>
  <si>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</si>
  <si>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</si>
  <si>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</si>
  <si>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</si>
  <si>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</si>
  <si>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中本　拓人</t>
    <rPh sb="0" eb="2">
      <t>ナカモト</t>
    </rPh>
    <rPh sb="3" eb="5">
      <t>タクト</t>
    </rPh>
    <phoneticPr fontId="1"/>
  </si>
  <si>
    <t>なかもとたくと</t>
    <phoneticPr fontId="1"/>
  </si>
  <si>
    <t>752-0974</t>
    <phoneticPr fontId="1"/>
  </si>
  <si>
    <t>山口県下関市長府土居の内町</t>
    <rPh sb="0" eb="13">
      <t>752-0974</t>
    </rPh>
    <phoneticPr fontId="1"/>
  </si>
  <si>
    <t>４丁目１６号湧川ビル303</t>
    <rPh sb="1" eb="3">
      <t>チョウメ</t>
    </rPh>
    <rPh sb="5" eb="6">
      <t>ゴウ</t>
    </rPh>
    <rPh sb="6" eb="8">
      <t>ワキガワ</t>
    </rPh>
    <phoneticPr fontId="1"/>
  </si>
  <si>
    <t>070-7561-0716</t>
    <phoneticPr fontId="1"/>
  </si>
  <si>
    <t>トヨタマークX</t>
    <phoneticPr fontId="1"/>
  </si>
  <si>
    <t>下関332や12</t>
    <rPh sb="0" eb="2">
      <t>シモノセキ</t>
    </rPh>
    <phoneticPr fontId="1"/>
  </si>
  <si>
    <t>GRX130-6089064</t>
    <phoneticPr fontId="1"/>
  </si>
  <si>
    <t>16360</t>
    <phoneticPr fontId="1"/>
  </si>
  <si>
    <t>0011</t>
    <phoneticPr fontId="1"/>
  </si>
  <si>
    <t>H26.11</t>
    <phoneticPr fontId="1"/>
  </si>
  <si>
    <t>拓未くん</t>
    <rPh sb="0" eb="1">
      <t>タク</t>
    </rPh>
    <rPh sb="1" eb="2">
      <t>ミ</t>
    </rPh>
    <phoneticPr fontId="1"/>
  </si>
  <si>
    <t>0257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</si>
</sst>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4" sqref="B4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36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25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26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27</v>
      </c>
      <c r="C7" s="26" t="s">
        <v>22</v>
      </c>
      <c r="D7" s="22" t="s">
        <v>32</v>
      </c>
    </row>
    <row r="8" spans="1:4" x14ac:dyDescent="0.4">
      <c r="A8" s="12" t="s">
        <v>5</v>
      </c>
      <c r="B8" s="8" t="s">
        <v>28</v>
      </c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46068</v>
      </c>
    </row>
    <row r="11" spans="1:4" x14ac:dyDescent="0.4">
      <c r="A11" s="12" t="s">
        <v>8</v>
      </c>
      <c r="B11" s="10"/>
      <c r="C11" s="12" t="s">
        <v>13</v>
      </c>
      <c r="D11" s="24" t="s">
        <v>35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0257</v>
      </c>
      <c r="B2" t="str">
        <f>IF(顧客名簿!B3="","",顧客名簿!B3)</f>
        <v>中本　拓人</v>
      </c>
      <c r="C2" t="str">
        <f>IF(顧客名簿!B4="","",顧客名簿!B4)</f>
        <v>なかもとたくと</v>
      </c>
      <c r="D2" t="str">
        <f>IF(顧客名簿!B5="","",顧客名簿!B5)</f>
        <v>752-0974</v>
      </c>
      <c r="E2" t="str">
        <f>IF(顧客名簿!B6="","",顧客名簿!B6)</f>
        <v>山口県下関市長府土居の内町</v>
      </c>
      <c r="F2" t="str">
        <f>IF(顧客名簿!B7="","",顧客名簿!B7)</f>
        <v>４丁目１６号湧川ビル303</v>
      </c>
      <c r="G2" t="str">
        <f>IF(顧客名簿!B8="","",顧客名簿!B8)</f>
        <v>070-7561-0716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トヨタマークX</v>
      </c>
      <c r="O2" t="str">
        <f>IF(顧客名簿!D5="","",顧客名簿!D5)</f>
        <v>下関332や12</v>
      </c>
      <c r="P2" t="str">
        <f>IF(顧客名簿!D6="","",顧客名簿!D6)</f>
        <v>GRX130-6089064</v>
      </c>
      <c r="Q2" t="str">
        <f>IF(顧客名簿!D7="","",顧客名簿!D7)</f>
        <v>16360</v>
      </c>
      <c r="R2" t="str">
        <f>IF(顧客名簿!D8="","",顧客名簿!D8)</f>
        <v>0011</v>
      </c>
      <c r="S2" t="str">
        <f>IF(顧客名簿!D9="","",顧客名簿!D9)</f>
        <v>H26.11</v>
      </c>
      <c r="T2" s="21">
        <f>IF(顧客名簿!D10="","",顧客名簿!D10)</f>
        <v>46068</v>
      </c>
      <c r="U2" s="20" t="str">
        <f>IF(顧客名簿!D11="","",顧客名簿!D11)</f>
        <v>拓未くん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2024-10-31T13:14:22Z</dcterms:modified>
</cp:coreProperties>
</file>