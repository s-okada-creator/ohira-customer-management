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416おおはま大濱勝情公様(ﾃﾞﾘｶ)/"/>
    </mc:Choice>
  </mc:AlternateContent>
  <xr:revisionPtr revIDLastSave="66" documentId="13_ncr:1_{2162476F-CA24-49B5-8D7A-4B7C6B7A7835}" xr6:coauthVersionLast="47" xr6:coauthVersionMax="47" xr10:uidLastSave="{83211D89-D8E4-491E-9D47-93F33B62BB99}"/>
  <bookViews>
    <workbookView xWindow="-165" yWindow="105" windowWidth="1038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<sst xmlns="http://schemas.openxmlformats.org/spreadsheetml/2006/main" count="37" uniqueCount="37">
  <si>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</si>
  <si>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</si>
  <si>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</si>
  <si>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</si>
  <si>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</si>
  <si>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</si>
  <si>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</si>
  <si>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</si>
  <si>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</si>
  <si>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</si>
  <si>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</si>
  <si>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</si>
  <si>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</si>
  <si>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</si>
  <si>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</si>
  <si>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</si>
  <si>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</si>
  <si>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</si>
  <si>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</si>
  <si>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</si>
  <si>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</si>
  <si>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</si>
  <si>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</si>
  <si>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0416</t>
    <phoneticPr fontId="1"/>
  </si>
  <si>
    <t>大濱　勝情公</t>
    <rPh sb="0" eb="2">
      <t>オオハマ</t>
    </rPh>
    <rPh sb="3" eb="4">
      <t>カツ</t>
    </rPh>
    <rPh sb="4" eb="5">
      <t>ジョウ</t>
    </rPh>
    <rPh sb="5" eb="6">
      <t>コウ</t>
    </rPh>
    <phoneticPr fontId="1"/>
  </si>
  <si>
    <t>おおはままさき</t>
    <phoneticPr fontId="1"/>
  </si>
  <si>
    <t>751-0856</t>
    <phoneticPr fontId="1"/>
  </si>
  <si>
    <t>山口県下関市稗田中町</t>
    <rPh sb="0" eb="10">
      <t>751-0856</t>
    </rPh>
    <phoneticPr fontId="1"/>
  </si>
  <si>
    <t>20-18</t>
    <phoneticPr fontId="1"/>
  </si>
  <si>
    <t>090-4149-8422</t>
    <phoneticPr fontId="1"/>
  </si>
  <si>
    <t>083-227-4802</t>
    <phoneticPr fontId="1"/>
  </si>
  <si>
    <t>三菱デリカ</t>
    <rPh sb="0" eb="2">
      <t>ミツビシ</t>
    </rPh>
    <phoneticPr fontId="1"/>
  </si>
  <si>
    <t>CV5W-0114145</t>
    <phoneticPr fontId="1"/>
  </si>
  <si>
    <t>15642</t>
    <phoneticPr fontId="1"/>
  </si>
  <si>
    <t>0025</t>
    <phoneticPr fontId="1"/>
  </si>
  <si>
    <t>H20.4</t>
    <phoneticPr fontId="1"/>
  </si>
  <si>
    <t>下関335す8000</t>
    <rPh sb="0" eb="2">
      <t>シモノセキ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</si>
</sst>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D11" sqref="D11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 t="s">
        <v>31</v>
      </c>
    </row>
    <row r="5" spans="1:4" x14ac:dyDescent="0.4">
      <c r="A5" s="12" t="s">
        <v>14</v>
      </c>
      <c r="B5" s="8" t="s">
        <v>26</v>
      </c>
      <c r="C5" s="12" t="s">
        <v>20</v>
      </c>
      <c r="D5" s="18" t="s">
        <v>36</v>
      </c>
    </row>
    <row r="6" spans="1:4" x14ac:dyDescent="0.4">
      <c r="A6" s="12" t="s">
        <v>3</v>
      </c>
      <c r="B6" s="8" t="s">
        <v>27</v>
      </c>
      <c r="C6" s="17" t="s">
        <v>21</v>
      </c>
      <c r="D6" s="3" t="s">
        <v>32</v>
      </c>
    </row>
    <row r="7" spans="1:4" x14ac:dyDescent="0.4">
      <c r="A7" s="12" t="s">
        <v>4</v>
      </c>
      <c r="B7" s="9" t="s">
        <v>28</v>
      </c>
      <c r="C7" s="26" t="s">
        <v>22</v>
      </c>
      <c r="D7" s="22" t="s">
        <v>33</v>
      </c>
    </row>
    <row r="8" spans="1:4" x14ac:dyDescent="0.4">
      <c r="A8" s="12" t="s">
        <v>5</v>
      </c>
      <c r="B8" s="8" t="s">
        <v>29</v>
      </c>
      <c r="C8" s="17" t="s">
        <v>19</v>
      </c>
      <c r="D8" s="23" t="s">
        <v>34</v>
      </c>
    </row>
    <row r="9" spans="1:4" x14ac:dyDescent="0.4">
      <c r="A9" s="12" t="s">
        <v>6</v>
      </c>
      <c r="B9" s="8" t="s">
        <v>30</v>
      </c>
      <c r="C9" s="13" t="s">
        <v>16</v>
      </c>
      <c r="D9" s="6" t="s">
        <v>35</v>
      </c>
    </row>
    <row r="10" spans="1:4" x14ac:dyDescent="0.4">
      <c r="A10" s="15" t="s">
        <v>7</v>
      </c>
      <c r="B10" s="10"/>
      <c r="C10" s="12" t="s">
        <v>12</v>
      </c>
      <c r="D10" s="5">
        <v>45748</v>
      </c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0416</v>
      </c>
      <c r="B2" t="str">
        <f>IF(顧客名簿!B3="","",顧客名簿!B3)</f>
        <v>大濱　勝情公</v>
      </c>
      <c r="C2" t="str">
        <f>IF(顧客名簿!B4="","",顧客名簿!B4)</f>
        <v>おおはままさき</v>
      </c>
      <c r="D2" t="str">
        <f>IF(顧客名簿!B5="","",顧客名簿!B5)</f>
        <v>751-0856</v>
      </c>
      <c r="E2" t="str">
        <f>IF(顧客名簿!B6="","",顧客名簿!B6)</f>
        <v>山口県下関市稗田中町</v>
      </c>
      <c r="F2" t="str">
        <f>IF(顧客名簿!B7="","",顧客名簿!B7)</f>
        <v>20-18</v>
      </c>
      <c r="G2" t="str">
        <f>IF(顧客名簿!B8="","",顧客名簿!B8)</f>
        <v>090-4149-8422</v>
      </c>
      <c r="H2" t="str">
        <f>IF(顧客名簿!B9="","",顧客名簿!B9)</f>
        <v>083-227-4802</v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三菱デリカ</v>
      </c>
      <c r="O2" t="str">
        <f>IF(顧客名簿!D5="","",顧客名簿!D5)</f>
        <v>下関335す8000</v>
      </c>
      <c r="P2" t="str">
        <f>IF(顧客名簿!D6="","",顧客名簿!D6)</f>
        <v>CV5W-0114145</v>
      </c>
      <c r="Q2" t="str">
        <f>IF(顧客名簿!D7="","",顧客名簿!D7)</f>
        <v>15642</v>
      </c>
      <c r="R2" t="str">
        <f>IF(顧客名簿!D8="","",顧客名簿!D8)</f>
        <v>0025</v>
      </c>
      <c r="S2" t="str">
        <f>IF(顧客名簿!D9="","",顧客名簿!D9)</f>
        <v>H20.4</v>
      </c>
      <c r="T2" s="21">
        <f>IF(顧客名簿!D10="","",顧客名簿!D10)</f>
        <v>45748</v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2025-03-04T05:47:59Z</dcterms:modified>
</cp:coreProperties>
</file>