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顧客フォルダ/0020今谷修様(セレナ)/"/>
    </mc:Choice>
  </mc:AlternateContent>
  <xr:revisionPtr revIDLastSave="24" documentId="13_ncr:1_{68D8FAAB-9449-4688-A93A-2F5E93382682}" xr6:coauthVersionLast="47" xr6:coauthVersionMax="47" xr10:uidLastSave="{906632D1-4DA5-4EF7-95C2-6D61675A8901}"/>
  <bookViews>
    <workbookView xWindow="-120" yWindow="-120" windowWidth="20730" windowHeight="1104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顧客名簿!$A$1:$D$12</definedName>
    <definedName name="_xlnm.Print_Titles" localSheetId="0">顧客名簿!$2:$12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<sst xmlns="http://schemas.openxmlformats.org/spreadsheetml/2006/main" count="37" uniqueCount="37">
  <si>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</si>
  <si>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</si>
  <si>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</si>
  <si>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</si>
  <si>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</si>
  <si>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</si>
  <si>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</si>
  <si>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</si>
  <si>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</si>
  <si>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</si>
  <si>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</si>
  <si>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</si>
  <si>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</si>
  <si>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</si>
  <si>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</si>
  <si>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</si>
  <si>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</si>
  <si>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</si>
  <si>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</si>
  <si>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</si>
  <si>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</si>
  <si>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</si>
  <si>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車台番号</t>
    <rPh sb="0" eb="2">
      <t>シャダイ</t>
    </rPh>
    <rPh sb="2" eb="4">
      <t>バンゴウ</t>
    </rPh>
    <phoneticPr fontId="1"/>
  </si>
  <si>
    <t>0020</t>
    <phoneticPr fontId="1"/>
  </si>
  <si>
    <t>今谷　修</t>
    <rPh sb="0" eb="2">
      <t>イマタニ</t>
    </rPh>
    <rPh sb="3" eb="4">
      <t>オサム</t>
    </rPh>
    <phoneticPr fontId="1"/>
  </si>
  <si>
    <t>いまたにおさむ</t>
    <phoneticPr fontId="1"/>
  </si>
  <si>
    <t>752-0901</t>
    <phoneticPr fontId="1"/>
  </si>
  <si>
    <t>山口県下関市山田</t>
    <rPh sb="0" eb="8">
      <t>752-0901</t>
    </rPh>
    <phoneticPr fontId="1"/>
  </si>
  <si>
    <t>59</t>
    <phoneticPr fontId="1"/>
  </si>
  <si>
    <t>080-5624-8764</t>
    <phoneticPr fontId="1"/>
  </si>
  <si>
    <t>ニッサン　セレナ</t>
    <phoneticPr fontId="1"/>
  </si>
  <si>
    <t>下関300そ6605</t>
    <rPh sb="0" eb="2">
      <t>シモノセキ</t>
    </rPh>
    <phoneticPr fontId="1"/>
  </si>
  <si>
    <t>FC26-042764</t>
    <phoneticPr fontId="1"/>
  </si>
  <si>
    <t>16658</t>
    <phoneticPr fontId="1"/>
  </si>
  <si>
    <t>0002</t>
    <phoneticPr fontId="1"/>
  </si>
  <si>
    <t>H23.11</t>
    <phoneticPr fontId="1"/>
  </si>
  <si>
    <t>大平英明</t>
    <rPh sb="0" eb="2">
      <t>オオヒラ</t>
    </rPh>
    <rPh sb="2" eb="4">
      <t>ヒデアキ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</si>
</sst>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7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0" fillId="0" borderId="9" xfId="0" applyBorder="1">
      <alignment vertical="center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11" xfId="0" applyBorder="1">
      <alignment vertical="center"/>
    </xf>
    <xf numFmtId="0" fontId="0" fillId="0" borderId="2" xfId="0" applyBorder="1" applyAlignment="1" applyProtection="1">
      <alignment horizontal="left" vertical="center"/>
      <protection locked="0"/>
    </xf>
    <xf numFmtId="49" fontId="0" fillId="0" borderId="11" xfId="0" applyNumberFormat="1" applyBorder="1">
      <alignment vertical="center"/>
    </xf>
    <xf numFmtId="49" fontId="0" fillId="0" borderId="11" xfId="0" applyNumberFormat="1" applyBorder="1" applyAlignment="1">
      <alignment horizontal="left" vertical="center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workbookViewId="0">
      <selection activeCell="D13" sqref="D13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6" t="s">
        <v>15</v>
      </c>
      <c r="B1" s="26"/>
      <c r="C1" s="26"/>
      <c r="D1" s="26"/>
    </row>
    <row r="2" spans="1:4" x14ac:dyDescent="0.4">
      <c r="A2" s="12" t="s">
        <v>0</v>
      </c>
      <c r="B2" s="7" t="s">
        <v>23</v>
      </c>
      <c r="C2" s="12" t="s">
        <v>10</v>
      </c>
      <c r="D2" s="2"/>
    </row>
    <row r="3" spans="1:4" x14ac:dyDescent="0.4">
      <c r="A3" s="13" t="s">
        <v>1</v>
      </c>
      <c r="B3" s="8" t="s">
        <v>24</v>
      </c>
      <c r="C3" s="13" t="s">
        <v>11</v>
      </c>
      <c r="D3" s="3"/>
    </row>
    <row r="4" spans="1:4" x14ac:dyDescent="0.4">
      <c r="A4" s="13" t="s">
        <v>2</v>
      </c>
      <c r="B4" s="8" t="s">
        <v>25</v>
      </c>
      <c r="C4" s="13" t="s">
        <v>18</v>
      </c>
      <c r="D4" s="3" t="s">
        <v>30</v>
      </c>
    </row>
    <row r="5" spans="1:4" x14ac:dyDescent="0.4">
      <c r="A5" s="13" t="s">
        <v>14</v>
      </c>
      <c r="B5" s="8" t="s">
        <v>26</v>
      </c>
      <c r="C5" s="13" t="s">
        <v>20</v>
      </c>
      <c r="D5" s="20" t="s">
        <v>31</v>
      </c>
    </row>
    <row r="6" spans="1:4" x14ac:dyDescent="0.4">
      <c r="A6" s="13" t="s">
        <v>3</v>
      </c>
      <c r="B6" s="8" t="s">
        <v>27</v>
      </c>
      <c r="C6" s="18" t="s">
        <v>22</v>
      </c>
      <c r="D6" s="3" t="s">
        <v>32</v>
      </c>
    </row>
    <row r="7" spans="1:4" x14ac:dyDescent="0.4">
      <c r="A7" s="13" t="s">
        <v>4</v>
      </c>
      <c r="B7" s="9" t="s">
        <v>28</v>
      </c>
      <c r="C7" s="18" t="s">
        <v>21</v>
      </c>
      <c r="D7" s="22" t="s">
        <v>33</v>
      </c>
    </row>
    <row r="8" spans="1:4" x14ac:dyDescent="0.4">
      <c r="A8" s="13" t="s">
        <v>5</v>
      </c>
      <c r="B8" s="8" t="s">
        <v>29</v>
      </c>
      <c r="C8" s="18" t="s">
        <v>19</v>
      </c>
      <c r="D8" s="21" t="s">
        <v>34</v>
      </c>
    </row>
    <row r="9" spans="1:4" x14ac:dyDescent="0.4">
      <c r="A9" s="13" t="s">
        <v>6</v>
      </c>
      <c r="B9" s="8"/>
      <c r="C9" s="14" t="s">
        <v>16</v>
      </c>
      <c r="D9" s="6" t="s">
        <v>35</v>
      </c>
    </row>
    <row r="10" spans="1:4" x14ac:dyDescent="0.4">
      <c r="A10" s="16" t="s">
        <v>7</v>
      </c>
      <c r="B10" s="10"/>
      <c r="C10" s="13" t="s">
        <v>12</v>
      </c>
      <c r="D10" s="5">
        <v>44152</v>
      </c>
    </row>
    <row r="11" spans="1:4" x14ac:dyDescent="0.4">
      <c r="A11" s="13" t="s">
        <v>8</v>
      </c>
      <c r="B11" s="10"/>
      <c r="C11" s="13" t="s">
        <v>13</v>
      </c>
      <c r="D11" s="19"/>
    </row>
    <row r="12" spans="1:4" ht="19.5" thickBot="1" x14ac:dyDescent="0.45">
      <c r="A12" s="17" t="s">
        <v>9</v>
      </c>
      <c r="B12" s="11"/>
      <c r="C12" s="15" t="s">
        <v>17</v>
      </c>
      <c r="D12" s="4" t="s">
        <v>36</v>
      </c>
    </row>
  </sheetData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/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18.125" customWidth="1"/>
    <col min="16" max="16" width="26.125" customWidth="1"/>
    <col min="17" max="17" width="12.875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23" customFormat="1" ht="18" x14ac:dyDescent="0.4">
      <c r="A1" s="23" t="str">
        <f>顧客名簿!A2</f>
        <v>コード№</v>
      </c>
      <c r="B1" s="23" t="str">
        <f>顧客名簿!A3</f>
        <v>名　前</v>
      </c>
      <c r="C1" s="23" t="str">
        <f>顧客名簿!A4</f>
        <v>ふりがな</v>
      </c>
      <c r="D1" s="23" t="str">
        <f>顧客名簿!A5</f>
        <v>自宅郵便番号</v>
      </c>
      <c r="E1" s="23" t="str">
        <f>顧客名簿!A6</f>
        <v>自宅住所1</v>
      </c>
      <c r="F1" s="23" t="str">
        <f>顧客名簿!A7</f>
        <v>自宅住所2</v>
      </c>
      <c r="G1" s="23" t="str">
        <f>顧客名簿!A8</f>
        <v>携帯番号</v>
      </c>
      <c r="H1" s="23" t="str">
        <f>顧客名簿!A9</f>
        <v>自宅電話番号</v>
      </c>
      <c r="I1" s="23" t="str">
        <f>顧客名簿!A10</f>
        <v>会社名</v>
      </c>
      <c r="J1" s="23" t="str">
        <f>顧客名簿!A11</f>
        <v>会社郵便番号</v>
      </c>
      <c r="K1" s="23" t="str">
        <f>顧客名簿!A12</f>
        <v>会社住所1</v>
      </c>
      <c r="L1" s="23" t="str">
        <f>顧客名簿!C2</f>
        <v>会社住所2</v>
      </c>
      <c r="M1" s="23" t="str">
        <f>顧客名簿!C3</f>
        <v>会社電話番号</v>
      </c>
      <c r="N1" s="23" t="str">
        <f>顧客名簿!C4</f>
        <v>車　名</v>
      </c>
      <c r="O1" s="23" t="str">
        <f>顧客名簿!C5</f>
        <v>車両ナンバー</v>
      </c>
      <c r="P1" s="23" t="str">
        <f>顧客名簿!C6</f>
        <v>車台番号</v>
      </c>
      <c r="Q1" s="23" t="str">
        <f>顧客名簿!C7</f>
        <v>型式・年式番号</v>
      </c>
      <c r="R1" s="23" t="str">
        <f>顧客名簿!C8</f>
        <v>類別番号</v>
      </c>
      <c r="S1" s="23" t="str">
        <f>顧客名簿!C9</f>
        <v>初年度</v>
      </c>
      <c r="T1" s="23" t="str">
        <f>顧客名簿!C10</f>
        <v>次回車検満期日</v>
      </c>
      <c r="U1" s="23" t="str">
        <f>顧客名簿!C11</f>
        <v>紹介者</v>
      </c>
      <c r="V1" s="23" t="str">
        <f>顧客名簿!C12</f>
        <v>担当者</v>
      </c>
    </row>
    <row r="2" spans="1:22" x14ac:dyDescent="0.4">
      <c r="A2" t="str">
        <f>IF(顧客名簿!B2="","",顧客名簿!B2)</f>
        <v>0020</v>
      </c>
      <c r="B2" t="str">
        <f>IF(顧客名簿!B3="","",顧客名簿!B3)</f>
        <v>今谷　修</v>
      </c>
      <c r="C2" t="str">
        <f>IF(顧客名簿!B4="","",顧客名簿!B4)</f>
        <v>いまたにおさむ</v>
      </c>
      <c r="D2" t="str">
        <f>IF(顧客名簿!B5="","",顧客名簿!B5)</f>
        <v>752-0901</v>
      </c>
      <c r="E2" t="str">
        <f>IF(顧客名簿!B6="","",顧客名簿!B6)</f>
        <v>山口県下関市山田</v>
      </c>
      <c r="F2" t="str">
        <f>IF(顧客名簿!B7="","",顧客名簿!B7)</f>
        <v>59</v>
      </c>
      <c r="G2" t="str">
        <f>IF(顧客名簿!B8="","",顧客名簿!B8)</f>
        <v>080-5624-8764</v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>ニッサン　セレナ</v>
      </c>
      <c r="O2" t="str">
        <f>IF(顧客名簿!D5="","",顧客名簿!D5)</f>
        <v>下関300そ6605</v>
      </c>
      <c r="P2" t="str">
        <f>IF(顧客名簿!D6="","",顧客名簿!D6)</f>
        <v>FC26-042764</v>
      </c>
      <c r="Q2" t="str">
        <f>IF(顧客名簿!D7="","",顧客名簿!D7)</f>
        <v>16658</v>
      </c>
      <c r="R2" t="str">
        <f>IF(顧客名簿!D8="","",顧客名簿!D8)</f>
        <v>0002</v>
      </c>
      <c r="S2" t="str">
        <f>IF(顧客名簿!D9="","",顧客名簿!D9)</f>
        <v>H23.11</v>
      </c>
      <c r="T2" s="25">
        <f>IF(顧客名簿!D10="","",顧客名簿!D10)</f>
        <v>44152</v>
      </c>
      <c r="U2" s="24" t="str">
        <f>IF(顧客名簿!D11="","",顧客名簿!D11)</f>
        <v/>
      </c>
      <c r="V2" s="24" t="str">
        <f>IF(顧客名簿!D12="","",顧客名簿!D12)</f>
        <v>大平英明</v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2024-09-01T06:17:08Z</dcterms:modified>
</cp:coreProperties>
</file>