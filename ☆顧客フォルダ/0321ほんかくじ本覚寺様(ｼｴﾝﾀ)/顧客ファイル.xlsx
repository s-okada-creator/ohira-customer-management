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21ほんかくじ本覚寺様(ｼｴﾝﾀ)/"/>
    </mc:Choice>
  </mc:AlternateContent>
  <xr:revisionPtr revIDLastSave="67" documentId="13_ncr:1_{2162476F-CA24-49B5-8D7A-4B7C6B7A7835}" xr6:coauthVersionLast="47" xr6:coauthVersionMax="47" xr10:uidLastSave="{21C2C243-7EC6-4D5B-B1AD-02ADDE0075B3}"/>
  <bookViews>
    <workbookView xWindow="450" yWindow="120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<sst xmlns="http://schemas.openxmlformats.org/spreadsheetml/2006/main" count="37" uniqueCount="37">
  <si>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</si>
  <si>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</si>
  <si>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</si>
  <si>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</si>
  <si>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</si>
  <si>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</si>
  <si>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</si>
  <si>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</si>
  <si>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</si>
  <si>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</si>
  <si>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</si>
  <si>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</si>
  <si>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</si>
  <si>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</si>
  <si>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</si>
  <si>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</si>
  <si>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</si>
  <si>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</si>
  <si>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</si>
  <si>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</si>
  <si>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</si>
  <si>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</si>
  <si>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</si>
  <si>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0321</t>
    <phoneticPr fontId="1"/>
  </si>
  <si>
    <t>752-0973</t>
    <phoneticPr fontId="1"/>
  </si>
  <si>
    <t>山口県下関市長府中之町</t>
    <rPh sb="0" eb="11">
      <t>752-0973</t>
    </rPh>
    <phoneticPr fontId="1"/>
  </si>
  <si>
    <t>6-8</t>
    <phoneticPr fontId="1"/>
  </si>
  <si>
    <t>090-4801-4345</t>
    <phoneticPr fontId="1"/>
  </si>
  <si>
    <t>トヨタシエンタ</t>
    <phoneticPr fontId="1"/>
  </si>
  <si>
    <t>NHP170-7238147</t>
    <phoneticPr fontId="1"/>
  </si>
  <si>
    <t>19020</t>
    <phoneticPr fontId="1"/>
  </si>
  <si>
    <t>0002</t>
    <phoneticPr fontId="1"/>
  </si>
  <si>
    <t>R3.2</t>
    <phoneticPr fontId="1"/>
  </si>
  <si>
    <t>備考：お母様分</t>
    <rPh sb="0" eb="2">
      <t>ビコウ</t>
    </rPh>
    <rPh sb="4" eb="6">
      <t>カアサマ</t>
    </rPh>
    <rPh sb="6" eb="7">
      <t>ブン</t>
    </rPh>
    <phoneticPr fontId="1"/>
  </si>
  <si>
    <t>濱口　芳恵</t>
    <rPh sb="0" eb="2">
      <t>ハマグチ</t>
    </rPh>
    <rPh sb="3" eb="5">
      <t>ヨシエ</t>
    </rPh>
    <phoneticPr fontId="1"/>
  </si>
  <si>
    <t>はまぐちよしえ</t>
    <phoneticPr fontId="1"/>
  </si>
  <si>
    <t>下関530つ2626</t>
    <rPh sb="0" eb="2">
      <t>シモノセキ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</si>
</sst>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6" sqref="D6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34</v>
      </c>
      <c r="C3" s="12" t="s">
        <v>11</v>
      </c>
      <c r="D3" s="3"/>
    </row>
    <row r="4" spans="1:4" x14ac:dyDescent="0.4">
      <c r="A4" s="12" t="s">
        <v>2</v>
      </c>
      <c r="B4" s="8" t="s">
        <v>35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24</v>
      </c>
      <c r="C5" s="12" t="s">
        <v>20</v>
      </c>
      <c r="D5" s="18" t="s">
        <v>36</v>
      </c>
    </row>
    <row r="6" spans="1:4" x14ac:dyDescent="0.4">
      <c r="A6" s="12" t="s">
        <v>3</v>
      </c>
      <c r="B6" s="8" t="s">
        <v>25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26</v>
      </c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27</v>
      </c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46077</v>
      </c>
    </row>
    <row r="11" spans="1:4" x14ac:dyDescent="0.4">
      <c r="A11" s="12" t="s">
        <v>8</v>
      </c>
      <c r="B11" s="10"/>
      <c r="C11" s="12" t="s">
        <v>13</v>
      </c>
      <c r="D11" s="24" t="s">
        <v>33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0321</v>
      </c>
      <c r="B2" t="str">
        <f>IF(顧客名簿!B3="","",顧客名簿!B3)</f>
        <v>濱口　芳恵</v>
      </c>
      <c r="C2" t="str">
        <f>IF(顧客名簿!B4="","",顧客名簿!B4)</f>
        <v>はまぐちよしえ</v>
      </c>
      <c r="D2" t="str">
        <f>IF(顧客名簿!B5="","",顧客名簿!B5)</f>
        <v>752-0973</v>
      </c>
      <c r="E2" t="str">
        <f>IF(顧客名簿!B6="","",顧客名簿!B6)</f>
        <v>山口県下関市長府中之町</v>
      </c>
      <c r="F2" t="str">
        <f>IF(顧客名簿!B7="","",顧客名簿!B7)</f>
        <v>6-8</v>
      </c>
      <c r="G2" t="str">
        <f>IF(顧客名簿!B8="","",顧客名簿!B8)</f>
        <v>090-4801-4345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トヨタシエンタ</v>
      </c>
      <c r="O2" t="str">
        <f>IF(顧客名簿!D5="","",顧客名簿!D5)</f>
        <v>下関530つ2626</v>
      </c>
      <c r="P2" t="str">
        <f>IF(顧客名簿!D6="","",顧客名簿!D6)</f>
        <v>NHP170-7238147</v>
      </c>
      <c r="Q2" t="str">
        <f>IF(顧客名簿!D7="","",顧客名簿!D7)</f>
        <v>19020</v>
      </c>
      <c r="R2" t="str">
        <f>IF(顧客名簿!D8="","",顧客名簿!D8)</f>
        <v>0002</v>
      </c>
      <c r="S2" t="str">
        <f>IF(顧客名簿!D9="","",顧客名簿!D9)</f>
        <v>R3.2</v>
      </c>
      <c r="T2" s="21">
        <f>IF(顧客名簿!D10="","",顧客名簿!D10)</f>
        <v>46077</v>
      </c>
      <c r="U2" s="20" t="str">
        <f>IF(顧客名簿!D11="","",顧客名簿!D11)</f>
        <v>備考：お母様分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2024-11-06T04:58:07Z</dcterms:modified>
</cp:coreProperties>
</file>