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顧客マスター/"/>
    </mc:Choice>
  </mc:AlternateContent>
  <xr:revisionPtr revIDLastSave="25" documentId="13_ncr:1_{1CB85908-E75D-46F2-8CB1-CB28FE68B0DB}" xr6:coauthVersionLast="47" xr6:coauthVersionMax="47" xr10:uidLastSave="{9DCB040C-0CC4-4166-B021-007994629C07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<sst xmlns="http://schemas.openxmlformats.org/spreadsheetml/2006/main" count="72" uniqueCount="45">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</sst>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176" fontId="3" fillId="0" borderId="0" xfId="0" applyNumberFormat="1" applyFont="1" applyAlignment="1" applyProtection="1">
      <alignment horizontal="center" vertical="center"/>
      <protection locked="0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&#39015;&#23458;&#12510;&#12473;&#12479;&#12540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/>
        </row>
        <row r="4">
          <cell r="D4"/>
        </row>
        <row r="5">
          <cell r="D5"/>
        </row>
        <row r="6">
          <cell r="B6"/>
          <cell r="D6"/>
        </row>
        <row r="7">
          <cell r="B7"/>
          <cell r="D7"/>
        </row>
        <row r="8">
          <cell r="B8"/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71"/>
      <c r="H2" s="71"/>
    </row>
    <row r="3" spans="1:8" ht="25.5" x14ac:dyDescent="0.4">
      <c r="A3" s="7" t="s">
        <v>27</v>
      </c>
      <c r="B3" s="57">
        <f>[1]顧客名簿!$B$3</f>
        <v>0</v>
      </c>
      <c r="C3" s="57"/>
      <c r="D3" s="57"/>
      <c r="F3" s="56" t="s">
        <v>26</v>
      </c>
      <c r="G3" s="56"/>
      <c r="H3" s="56"/>
    </row>
    <row r="4" spans="1:8" ht="18.75" customHeight="1" x14ac:dyDescent="0.4">
      <c r="A4" s="58" t="s">
        <v>25</v>
      </c>
      <c r="B4" s="60">
        <f>[1]顧客名簿!$B$6</f>
        <v>0</v>
      </c>
      <c r="C4" s="60"/>
      <c r="D4" s="60"/>
      <c r="F4" t="s">
        <v>24</v>
      </c>
    </row>
    <row r="5" spans="1:8" ht="18.75" customHeight="1" x14ac:dyDescent="0.4">
      <c r="A5" s="59"/>
      <c r="B5" s="61">
        <f>[1]顧客名簿!$B$7</f>
        <v>0</v>
      </c>
      <c r="C5" s="62"/>
      <c r="D5" s="62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>
        <f>[1]顧客名簿!$D$4</f>
        <v>0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>
        <f>[1]顧客名簿!$D$7</f>
        <v>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>
        <f>[1]顧客名簿!$D$5</f>
        <v>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>
        <f>[1]顧客名簿!$D$6</f>
        <v>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4">
        <f>見積書!G2</f>
        <v>0</v>
      </c>
      <c r="H2" s="64"/>
    </row>
    <row r="3" spans="1:8" ht="25.5" x14ac:dyDescent="0.4">
      <c r="A3" s="7" t="s">
        <v>27</v>
      </c>
      <c r="B3" s="57">
        <f>[1]顧客名簿!$B$3</f>
        <v>0</v>
      </c>
      <c r="C3" s="57"/>
      <c r="D3" s="57"/>
      <c r="F3" s="56" t="s">
        <v>26</v>
      </c>
      <c r="G3" s="56"/>
      <c r="H3" s="56"/>
    </row>
    <row r="4" spans="1:8" ht="18.75" customHeight="1" x14ac:dyDescent="0.4">
      <c r="A4" s="58" t="s">
        <v>25</v>
      </c>
      <c r="B4" s="60">
        <f>[1]顧客名簿!$B$6</f>
        <v>0</v>
      </c>
      <c r="C4" s="60"/>
      <c r="D4" s="60"/>
      <c r="F4" t="s">
        <v>24</v>
      </c>
    </row>
    <row r="5" spans="1:8" ht="18.75" customHeight="1" x14ac:dyDescent="0.4">
      <c r="A5" s="59"/>
      <c r="B5" s="61">
        <f>[1]顧客名簿!$B$7</f>
        <v>0</v>
      </c>
      <c r="C5" s="62"/>
      <c r="D5" s="62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>
        <f>[1]顧客名簿!$D$4</f>
        <v>0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>
        <f>[1]顧客名簿!$D$7</f>
        <v>0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>
        <f>[1]顧客名簿!$D$5</f>
        <v>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>
        <f>[1]顧客名簿!$D$6</f>
        <v>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5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3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3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3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3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3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3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3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3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3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3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3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3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3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3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3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3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3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3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7">
        <f>SUM(G16:H35)</f>
        <v>0</v>
      </c>
      <c r="H36" s="68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69">
        <f>SUM(G36:H37)</f>
        <v>0</v>
      </c>
      <c r="H38" s="70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>
        <f>請求書!B3</f>
        <v>0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2025-06-25T08:15:45Z</dcterms:modified>
</cp:coreProperties>
</file>