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44ふじの藤野様(柴田君紹介・ｱｳﾄﾗﾝﾀﾞｰ)/"/>
    </mc:Choice>
  </mc:AlternateContent>
  <xr:revisionPtr revIDLastSave="64" documentId="13_ncr:1_{2162476F-CA24-49B5-8D7A-4B7C6B7A7835}" xr6:coauthVersionLast="47" xr6:coauthVersionMax="47" xr10:uidLastSave="{74E0BEE3-C1ED-4FE7-BAD2-0EDB2E40F49F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<sst xmlns="http://schemas.openxmlformats.org/spreadsheetml/2006/main" count="36" uniqueCount="36">
  <si>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</si>
  <si>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</si>
  <si>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</si>
  <si>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</si>
  <si>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</si>
  <si>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</si>
  <si>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</si>
  <si>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</si>
  <si>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</si>
  <si>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</si>
  <si>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</si>
  <si>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</si>
  <si>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</si>
  <si>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</si>
  <si>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</si>
  <si>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</si>
  <si>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</si>
  <si>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</si>
  <si>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</si>
  <si>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</si>
  <si>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</si>
  <si>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</si>
  <si>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</si>
  <si>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0444</t>
    <phoneticPr fontId="1"/>
  </si>
  <si>
    <t>藤野　進</t>
    <rPh sb="0" eb="2">
      <t>フジノ</t>
    </rPh>
    <rPh sb="3" eb="4">
      <t>ススム</t>
    </rPh>
    <phoneticPr fontId="1"/>
  </si>
  <si>
    <t>ふじのすすむ</t>
    <phoneticPr fontId="1"/>
  </si>
  <si>
    <t>757-0001</t>
    <phoneticPr fontId="1"/>
  </si>
  <si>
    <t>山口県山陽小野田市厚狭</t>
    <rPh sb="0" eb="11">
      <t>757-0001</t>
    </rPh>
    <phoneticPr fontId="1"/>
  </si>
  <si>
    <t>1444-13</t>
    <phoneticPr fontId="1"/>
  </si>
  <si>
    <t>三菱アウトランダー</t>
    <rPh sb="0" eb="2">
      <t>ミツビシ</t>
    </rPh>
    <phoneticPr fontId="1"/>
  </si>
  <si>
    <t>山口336も51</t>
    <rPh sb="0" eb="2">
      <t>ヤマグチ</t>
    </rPh>
    <phoneticPr fontId="1"/>
  </si>
  <si>
    <t>GF7W-0300959</t>
    <phoneticPr fontId="1"/>
  </si>
  <si>
    <t>17348</t>
    <phoneticPr fontId="1"/>
  </si>
  <si>
    <t>1001</t>
    <phoneticPr fontId="1"/>
  </si>
  <si>
    <t>H28.1</t>
    <phoneticPr fontId="1"/>
  </si>
  <si>
    <t>柴田君</t>
    <rPh sb="0" eb="3">
      <t>シバタクン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</si>
</sst>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12" sqref="B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46410</v>
      </c>
    </row>
    <row r="11" spans="1:4" x14ac:dyDescent="0.4">
      <c r="A11" s="12" t="s">
        <v>8</v>
      </c>
      <c r="B11" s="10"/>
      <c r="C11" s="12" t="s">
        <v>13</v>
      </c>
      <c r="D11" s="24" t="s">
        <v>35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0444</v>
      </c>
      <c r="B2" t="str">
        <f>IF(顧客名簿!B3="","",顧客名簿!B3)</f>
        <v>藤野　進</v>
      </c>
      <c r="C2" t="str">
        <f>IF(顧客名簿!B4="","",顧客名簿!B4)</f>
        <v>ふじのすすむ</v>
      </c>
      <c r="D2" t="str">
        <f>IF(顧客名簿!B5="","",顧客名簿!B5)</f>
        <v>757-0001</v>
      </c>
      <c r="E2" t="str">
        <f>IF(顧客名簿!B6="","",顧客名簿!B6)</f>
        <v>山口県山陽小野田市厚狭</v>
      </c>
      <c r="F2" t="str">
        <f>IF(顧客名簿!B7="","",顧客名簿!B7)</f>
        <v>1444-13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三菱アウトランダー</v>
      </c>
      <c r="O2" t="str">
        <f>IF(顧客名簿!D5="","",顧客名簿!D5)</f>
        <v>山口336も51</v>
      </c>
      <c r="P2" t="str">
        <f>IF(顧客名簿!D6="","",顧客名簿!D6)</f>
        <v>GF7W-0300959</v>
      </c>
      <c r="Q2" t="str">
        <f>IF(顧客名簿!D7="","",顧客名簿!D7)</f>
        <v>17348</v>
      </c>
      <c r="R2" t="str">
        <f>IF(顧客名簿!D8="","",顧客名簿!D8)</f>
        <v>1001</v>
      </c>
      <c r="S2" t="str">
        <f>IF(顧客名簿!D9="","",顧客名簿!D9)</f>
        <v>H28.1</v>
      </c>
      <c r="T2" s="21">
        <f>IF(顧客名簿!D10="","",顧客名簿!D10)</f>
        <v>46410</v>
      </c>
      <c r="U2" s="20" t="str">
        <f>IF(顧客名簿!D11="","",顧客名簿!D11)</f>
        <v>柴田君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2025-06-05T01:31:21Z</dcterms:modified>
</cp:coreProperties>
</file>