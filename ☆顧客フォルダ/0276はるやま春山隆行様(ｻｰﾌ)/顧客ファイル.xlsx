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76はるやま春山隆行様(ｻｰﾌ)/"/>
    </mc:Choice>
  </mc:AlternateContent>
  <xr:revisionPtr revIDLastSave="71" documentId="13_ncr:1_{2162476F-CA24-49B5-8D7A-4B7C6B7A7835}" xr6:coauthVersionLast="47" xr6:coauthVersionMax="47" xr10:uidLastSave="{6522E7EA-952F-4B82-9D88-348A41BECB01}"/>
  <bookViews>
    <workbookView xWindow="480" yWindow="106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<sst xmlns="http://schemas.openxmlformats.org/spreadsheetml/2006/main" count="37" uniqueCount="37">
  <si>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</si>
  <si>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</si>
  <si>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</si>
  <si>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</si>
  <si>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</si>
  <si>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</si>
  <si>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</si>
  <si>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</si>
  <si>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</si>
  <si>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</si>
  <si>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</si>
  <si>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</si>
  <si>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</si>
  <si>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</si>
  <si>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</si>
  <si>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</si>
  <si>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</si>
  <si>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</si>
  <si>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</si>
  <si>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</si>
  <si>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</si>
  <si>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</si>
  <si>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</si>
  <si>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春山　隆行</t>
    <rPh sb="0" eb="2">
      <t>ハルヤマ</t>
    </rPh>
    <rPh sb="3" eb="5">
      <t>タカユキ</t>
    </rPh>
    <phoneticPr fontId="1"/>
  </si>
  <si>
    <t>はるやまたかゆき</t>
    <phoneticPr fontId="1"/>
  </si>
  <si>
    <t>090-9415-1469</t>
    <phoneticPr fontId="1"/>
  </si>
  <si>
    <t>083-258-2658</t>
    <phoneticPr fontId="1"/>
  </si>
  <si>
    <t>トヨタサーフ</t>
    <phoneticPr fontId="1"/>
  </si>
  <si>
    <t>下関330す6009</t>
    <rPh sb="0" eb="2">
      <t>シモノセキ</t>
    </rPh>
    <phoneticPr fontId="1"/>
  </si>
  <si>
    <t>TRN215-0027572</t>
    <phoneticPr fontId="1"/>
  </si>
  <si>
    <t>12520</t>
    <phoneticPr fontId="1"/>
  </si>
  <si>
    <t>0086</t>
    <phoneticPr fontId="1"/>
  </si>
  <si>
    <t>H21.6</t>
    <phoneticPr fontId="1"/>
  </si>
  <si>
    <t>0276</t>
    <phoneticPr fontId="1"/>
  </si>
  <si>
    <t>751-0802</t>
    <phoneticPr fontId="1"/>
  </si>
  <si>
    <t>山口県下関市勝谷新町</t>
    <rPh sb="0" eb="10">
      <t>751-0802</t>
    </rPh>
    <phoneticPr fontId="1"/>
  </si>
  <si>
    <t>3-6フォーレスN202号</t>
    <rPh sb="12" eb="13">
      <t>ゴウ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</si>
</sst>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33</v>
      </c>
      <c r="C2" s="11" t="s">
        <v>10</v>
      </c>
      <c r="D2" s="2"/>
    </row>
    <row r="3" spans="1:4" x14ac:dyDescent="0.4">
      <c r="A3" s="12" t="s">
        <v>1</v>
      </c>
      <c r="B3" s="8" t="s">
        <v>23</v>
      </c>
      <c r="C3" s="12" t="s">
        <v>11</v>
      </c>
      <c r="D3" s="3"/>
    </row>
    <row r="4" spans="1:4" x14ac:dyDescent="0.4">
      <c r="A4" s="12" t="s">
        <v>2</v>
      </c>
      <c r="B4" s="8" t="s">
        <v>24</v>
      </c>
      <c r="C4" s="12" t="s">
        <v>18</v>
      </c>
      <c r="D4" s="3" t="s">
        <v>27</v>
      </c>
    </row>
    <row r="5" spans="1:4" x14ac:dyDescent="0.4">
      <c r="A5" s="12" t="s">
        <v>14</v>
      </c>
      <c r="B5" s="8" t="s">
        <v>34</v>
      </c>
      <c r="C5" s="12" t="s">
        <v>20</v>
      </c>
      <c r="D5" s="18" t="s">
        <v>28</v>
      </c>
    </row>
    <row r="6" spans="1:4" x14ac:dyDescent="0.4">
      <c r="A6" s="12" t="s">
        <v>3</v>
      </c>
      <c r="B6" s="8" t="s">
        <v>35</v>
      </c>
      <c r="C6" s="17" t="s">
        <v>21</v>
      </c>
      <c r="D6" s="3" t="s">
        <v>29</v>
      </c>
    </row>
    <row r="7" spans="1:4" x14ac:dyDescent="0.4">
      <c r="A7" s="12" t="s">
        <v>4</v>
      </c>
      <c r="B7" s="9" t="s">
        <v>36</v>
      </c>
      <c r="C7" s="26" t="s">
        <v>22</v>
      </c>
      <c r="D7" s="22" t="s">
        <v>30</v>
      </c>
    </row>
    <row r="8" spans="1:4" x14ac:dyDescent="0.4">
      <c r="A8" s="12" t="s">
        <v>5</v>
      </c>
      <c r="B8" s="8" t="s">
        <v>25</v>
      </c>
      <c r="C8" s="17" t="s">
        <v>19</v>
      </c>
      <c r="D8" s="23" t="s">
        <v>31</v>
      </c>
    </row>
    <row r="9" spans="1:4" x14ac:dyDescent="0.4">
      <c r="A9" s="12" t="s">
        <v>6</v>
      </c>
      <c r="B9" s="8" t="s">
        <v>26</v>
      </c>
      <c r="C9" s="13" t="s">
        <v>16</v>
      </c>
      <c r="D9" s="6" t="s">
        <v>32</v>
      </c>
    </row>
    <row r="10" spans="1:4" x14ac:dyDescent="0.4">
      <c r="A10" s="15" t="s">
        <v>7</v>
      </c>
      <c r="B10" s="10"/>
      <c r="C10" s="12" t="s">
        <v>12</v>
      </c>
      <c r="D10" s="5">
        <v>46392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0276</v>
      </c>
      <c r="B2" t="str">
        <f>IF(顧客名簿!B3="","",顧客名簿!B3)</f>
        <v>春山　隆行</v>
      </c>
      <c r="C2" t="str">
        <f>IF(顧客名簿!B4="","",顧客名簿!B4)</f>
        <v>はるやまたかゆき</v>
      </c>
      <c r="D2" t="str">
        <f>IF(顧客名簿!B5="","",顧客名簿!B5)</f>
        <v>751-0802</v>
      </c>
      <c r="E2" t="str">
        <f>IF(顧客名簿!B6="","",顧客名簿!B6)</f>
        <v>山口県下関市勝谷新町</v>
      </c>
      <c r="F2" t="str">
        <f>IF(顧客名簿!B7="","",顧客名簿!B7)</f>
        <v>3-6フォーレスN202号</v>
      </c>
      <c r="G2" t="str">
        <f>IF(顧客名簿!B8="","",顧客名簿!B8)</f>
        <v>090-9415-1469</v>
      </c>
      <c r="H2" t="str">
        <f>IF(顧客名簿!B9="","",顧客名簿!B9)</f>
        <v>083-258-2658</v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トヨタサーフ</v>
      </c>
      <c r="O2" t="str">
        <f>IF(顧客名簿!D5="","",顧客名簿!D5)</f>
        <v>下関330す6009</v>
      </c>
      <c r="P2" t="str">
        <f>IF(顧客名簿!D6="","",顧客名簿!D6)</f>
        <v>TRN215-0027572</v>
      </c>
      <c r="Q2" t="str">
        <f>IF(顧客名簿!D7="","",顧客名簿!D7)</f>
        <v>12520</v>
      </c>
      <c r="R2" t="str">
        <f>IF(顧客名簿!D8="","",顧客名簿!D8)</f>
        <v>0086</v>
      </c>
      <c r="S2" t="str">
        <f>IF(顧客名簿!D9="","",顧客名簿!D9)</f>
        <v>H21.6</v>
      </c>
      <c r="T2" s="21">
        <f>IF(顧客名簿!D10="","",顧客名簿!D10)</f>
        <v>46392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2024-12-17T04:29:36Z</dcterms:modified>
</cp:coreProperties>
</file>