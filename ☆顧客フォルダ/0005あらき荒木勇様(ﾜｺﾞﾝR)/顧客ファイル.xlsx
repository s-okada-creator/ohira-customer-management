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5あらき荒木勇様(ﾜｺﾞﾝR)/"/>
    </mc:Choice>
  </mc:AlternateContent>
  <xr:revisionPtr revIDLastSave="5" documentId="13_ncr:1_{7F43B9E2-1F9D-4A43-A04E-885E0D86A3CD}" xr6:coauthVersionLast="47" xr6:coauthVersionMax="47" xr10:uidLastSave="{01D4DEDF-C935-454F-89AA-0A3687C167F1}"/>
  <bookViews>
    <workbookView xWindow="780" yWindow="78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<sst xmlns="http://schemas.openxmlformats.org/spreadsheetml/2006/main" count="37" uniqueCount="37">
  <si>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</si>
  <si>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</si>
  <si>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</si>
  <si>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</si>
  <si>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</si>
  <si>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</si>
  <si>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</si>
  <si>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</si>
  <si>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</si>
  <si>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</si>
  <si>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</si>
  <si>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</si>
  <si>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</si>
  <si>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</si>
  <si>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</si>
  <si>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</si>
  <si>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</si>
  <si>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</si>
  <si>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</si>
  <si>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</si>
  <si>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</si>
  <si>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0005</t>
    <phoneticPr fontId="1"/>
  </si>
  <si>
    <t>荒木勇</t>
    <rPh sb="0" eb="2">
      <t>アラキ</t>
    </rPh>
    <rPh sb="2" eb="3">
      <t>ユウ</t>
    </rPh>
    <phoneticPr fontId="1"/>
  </si>
  <si>
    <t>あらきゆう</t>
    <phoneticPr fontId="1"/>
  </si>
  <si>
    <t>スズキ　ワゴンR</t>
    <phoneticPr fontId="1"/>
  </si>
  <si>
    <t>76-76</t>
    <phoneticPr fontId="1"/>
  </si>
  <si>
    <t>MH34S-436879</t>
    <phoneticPr fontId="1"/>
  </si>
  <si>
    <t>17346</t>
    <phoneticPr fontId="1"/>
  </si>
  <si>
    <t>0043</t>
    <phoneticPr fontId="1"/>
  </si>
  <si>
    <t>H28.4</t>
    <phoneticPr fontId="1"/>
  </si>
  <si>
    <t>751-0844</t>
    <phoneticPr fontId="1"/>
  </si>
  <si>
    <t>山口県下関市新垢田西町</t>
    <rPh sb="0" eb="11">
      <t>751-0844</t>
    </rPh>
    <phoneticPr fontId="1"/>
  </si>
  <si>
    <t>1-U-301</t>
    <phoneticPr fontId="1"/>
  </si>
  <si>
    <t>080-5615-0292</t>
    <phoneticPr fontId="1"/>
  </si>
  <si>
    <t>大平英明</t>
    <rPh sb="0" eb="2">
      <t>オオヒラ</t>
    </rPh>
    <rPh sb="2" eb="4">
      <t>ヒデアキ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</si>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</sst>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43"/>
  <sheetViews>
    <sheetView tabSelected="1" workbookViewId="0">
      <selection activeCell="C8" sqref="C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22</v>
      </c>
      <c r="C3" s="13" t="s">
        <v>11</v>
      </c>
      <c r="D3" s="3"/>
    </row>
    <row r="4" spans="1:4" x14ac:dyDescent="0.4">
      <c r="A4" s="13" t="s">
        <v>2</v>
      </c>
      <c r="B4" s="8" t="s">
        <v>23</v>
      </c>
      <c r="C4" s="13" t="s">
        <v>18</v>
      </c>
      <c r="D4" s="3" t="s">
        <v>24</v>
      </c>
    </row>
    <row r="5" spans="1:4" x14ac:dyDescent="0.4">
      <c r="A5" s="13" t="s">
        <v>14</v>
      </c>
      <c r="B5" s="8" t="s">
        <v>30</v>
      </c>
      <c r="C5" s="13" t="s">
        <v>20</v>
      </c>
      <c r="D5" s="19" t="s">
        <v>25</v>
      </c>
    </row>
    <row r="6" spans="1:4" x14ac:dyDescent="0.4">
      <c r="A6" s="13" t="s">
        <v>3</v>
      </c>
      <c r="B6" s="8" t="s">
        <v>31</v>
      </c>
      <c r="C6" s="18" t="s">
        <v>35</v>
      </c>
      <c r="D6" s="3" t="s">
        <v>26</v>
      </c>
    </row>
    <row r="7" spans="1:4" x14ac:dyDescent="0.4">
      <c r="A7" s="13" t="s">
        <v>4</v>
      </c>
      <c r="B7" s="9" t="s">
        <v>32</v>
      </c>
      <c r="C7" s="18" t="s">
        <v>36</v>
      </c>
      <c r="D7" s="23" t="s">
        <v>27</v>
      </c>
    </row>
    <row r="8" spans="1:4" x14ac:dyDescent="0.4">
      <c r="A8" s="13" t="s">
        <v>5</v>
      </c>
      <c r="B8" s="8" t="s">
        <v>33</v>
      </c>
      <c r="C8" s="18" t="s">
        <v>19</v>
      </c>
      <c r="D8" s="24" t="s">
        <v>28</v>
      </c>
    </row>
    <row r="9" spans="1:4" x14ac:dyDescent="0.4">
      <c r="A9" s="13" t="s">
        <v>6</v>
      </c>
      <c r="B9" s="8"/>
      <c r="C9" s="14" t="s">
        <v>16</v>
      </c>
      <c r="D9" s="6" t="s">
        <v>29</v>
      </c>
    </row>
    <row r="10" spans="1:4" x14ac:dyDescent="0.4">
      <c r="A10" s="16" t="s">
        <v>7</v>
      </c>
      <c r="B10" s="10"/>
      <c r="C10" s="13" t="s">
        <v>12</v>
      </c>
      <c r="D10" s="5"/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 t="s">
        <v>34</v>
      </c>
    </row>
    <row r="43" ht="25.9" customHeight="1" x14ac:dyDescent="0.4"/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P6" sqref="P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0005</v>
      </c>
      <c r="B2" t="str">
        <f>IF(顧客名簿!B3="","",顧客名簿!B3)</f>
        <v>荒木勇</v>
      </c>
      <c r="C2" t="str">
        <f>IF(顧客名簿!B4="","",顧客名簿!B4)</f>
        <v>あらきゆう</v>
      </c>
      <c r="D2" t="str">
        <f>IF(顧客名簿!B5="","",顧客名簿!B5)</f>
        <v>751-0844</v>
      </c>
      <c r="E2" t="str">
        <f>IF(顧客名簿!B6="","",顧客名簿!B6)</f>
        <v>山口県下関市新垢田西町</v>
      </c>
      <c r="F2" t="str">
        <f>IF(顧客名簿!B7="","",顧客名簿!B7)</f>
        <v>1-U-301</v>
      </c>
      <c r="G2" t="str">
        <f>IF(顧客名簿!B8="","",顧客名簿!B8)</f>
        <v>080-5615-0292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　ワゴンR</v>
      </c>
      <c r="O2" t="str">
        <f>IF(顧客名簿!D5="","",顧客名簿!D5)</f>
        <v>76-76</v>
      </c>
      <c r="P2" t="str">
        <f>IF(顧客名簿!D6="","",顧客名簿!D6)</f>
        <v>MH34S-436879</v>
      </c>
      <c r="Q2" t="str">
        <f>IF(顧客名簿!D7="","",顧客名簿!D7)</f>
        <v>17346</v>
      </c>
      <c r="R2" t="str">
        <f>IF(顧客名簿!D8="","",顧客名簿!D8)</f>
        <v>0043</v>
      </c>
      <c r="S2" t="str">
        <f>IF(顧客名簿!D9="","",顧客名簿!D9)</f>
        <v>H28.4</v>
      </c>
      <c r="T2" s="22" t="str">
        <f>IF(顧客名簿!D10="","",顧客名簿!D10)</f>
        <v/>
      </c>
      <c r="U2" s="21" t="str">
        <f>IF(顧客名簿!D11="","",顧客名簿!D11)</f>
        <v/>
      </c>
      <c r="V2" s="21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2025-06-20T04:40:35Z</dcterms:modified>
</cp:coreProperties>
</file>