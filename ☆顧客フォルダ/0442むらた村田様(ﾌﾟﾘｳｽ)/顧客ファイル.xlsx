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2むらた村田様(ﾌﾟﾘｳｽ)/"/>
    </mc:Choice>
  </mc:AlternateContent>
  <xr:revisionPtr revIDLastSave="72" documentId="13_ncr:1_{2162476F-CA24-49B5-8D7A-4B7C6B7A7835}" xr6:coauthVersionLast="47" xr6:coauthVersionMax="47" xr10:uidLastSave="{4FFC5D18-2121-4AE2-B131-BC4986502B74}"/>
  <bookViews>
    <workbookView xWindow="45" yWindow="510" windowWidth="1038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<sst xmlns="http://schemas.openxmlformats.org/spreadsheetml/2006/main" count="42" uniqueCount="39">
  <si>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</si>
  <si>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</si>
  <si>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</si>
  <si>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</si>
  <si>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</si>
  <si>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</si>
  <si>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</si>
  <si>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</si>
  <si>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</si>
  <si>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</si>
  <si>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</si>
  <si>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</si>
  <si>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</si>
  <si>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</si>
  <si>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</si>
  <si>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</si>
  <si>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</si>
  <si>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</si>
  <si>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</si>
  <si>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</si>
  <si>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</si>
  <si>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</si>
  <si>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</si>
  <si>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0442</t>
    <phoneticPr fontId="1"/>
  </si>
  <si>
    <t>18208</t>
    <phoneticPr fontId="1"/>
  </si>
  <si>
    <t>0018</t>
    <phoneticPr fontId="1"/>
  </si>
  <si>
    <t>トヨタプリウス</t>
    <phoneticPr fontId="1"/>
  </si>
  <si>
    <t>下関300た7066</t>
    <rPh sb="0" eb="2">
      <t>シモノセキ</t>
    </rPh>
    <phoneticPr fontId="1"/>
  </si>
  <si>
    <t>ZVW51-6140675</t>
    <phoneticPr fontId="1"/>
  </si>
  <si>
    <t>R1.12</t>
    <phoneticPr fontId="1"/>
  </si>
  <si>
    <t>株式会社　玲明</t>
    <rPh sb="0" eb="1">
      <t>カブ</t>
    </rPh>
    <rPh sb="1" eb="4">
      <t>シキカイシャ</t>
    </rPh>
    <rPh sb="5" eb="6">
      <t>レイ</t>
    </rPh>
    <rPh sb="6" eb="7">
      <t>メイ</t>
    </rPh>
    <phoneticPr fontId="1"/>
  </si>
  <si>
    <t>751-0852</t>
    <phoneticPr fontId="1"/>
  </si>
  <si>
    <t>山口県下関市熊野町</t>
    <rPh sb="0" eb="9">
      <t>751-0852</t>
    </rPh>
    <phoneticPr fontId="1"/>
  </si>
  <si>
    <t>2丁目17番23号</t>
    <rPh sb="1" eb="3">
      <t>チョウメ</t>
    </rPh>
    <rPh sb="5" eb="6">
      <t>バン</t>
    </rPh>
    <rPh sb="8" eb="9">
      <t>ゴウ</t>
    </rPh>
    <phoneticPr fontId="1"/>
  </si>
  <si>
    <t>083-237-9334</t>
    <phoneticPr fontId="1"/>
  </si>
  <si>
    <t>080-6518-3663</t>
    <phoneticPr fontId="1"/>
  </si>
  <si>
    <t>村田　玲緒</t>
    <rPh sb="0" eb="2">
      <t>ムラタ</t>
    </rPh>
    <rPh sb="3" eb="4">
      <t>レイ</t>
    </rPh>
    <rPh sb="4" eb="5">
      <t>オ</t>
    </rPh>
    <phoneticPr fontId="1"/>
  </si>
  <si>
    <t>むらたれお</t>
    <phoneticPr fontId="1"/>
  </si>
  <si>
    <t>備考：上杉健太様分</t>
    <rPh sb="0" eb="2">
      <t>ビコウ</t>
    </rPh>
    <rPh sb="3" eb="5">
      <t>ウエスギ</t>
    </rPh>
    <rPh sb="5" eb="7">
      <t>ケンタ</t>
    </rPh>
    <rPh sb="7" eb="8">
      <t>サマ</t>
    </rPh>
    <rPh sb="8" eb="9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</si>
</sst>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 t="s">
        <v>33</v>
      </c>
    </row>
    <row r="3" spans="1:4" x14ac:dyDescent="0.4">
      <c r="A3" s="12" t="s">
        <v>1</v>
      </c>
      <c r="B3" s="8" t="s">
        <v>36</v>
      </c>
      <c r="C3" s="12" t="s">
        <v>11</v>
      </c>
      <c r="D3" s="3" t="s">
        <v>34</v>
      </c>
    </row>
    <row r="4" spans="1:4" x14ac:dyDescent="0.4">
      <c r="A4" s="12" t="s">
        <v>2</v>
      </c>
      <c r="B4" s="8" t="s">
        <v>37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31</v>
      </c>
      <c r="C5" s="12" t="s">
        <v>20</v>
      </c>
      <c r="D5" s="18" t="s">
        <v>27</v>
      </c>
    </row>
    <row r="6" spans="1:4" x14ac:dyDescent="0.4">
      <c r="A6" s="12" t="s">
        <v>3</v>
      </c>
      <c r="B6" s="8" t="s">
        <v>32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33</v>
      </c>
      <c r="C7" s="26" t="s">
        <v>22</v>
      </c>
      <c r="D7" s="22" t="s">
        <v>24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25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 t="s">
        <v>30</v>
      </c>
      <c r="C10" s="12" t="s">
        <v>12</v>
      </c>
      <c r="D10" s="5">
        <v>46374</v>
      </c>
    </row>
    <row r="11" spans="1:4" x14ac:dyDescent="0.4">
      <c r="A11" s="12" t="s">
        <v>8</v>
      </c>
      <c r="B11" s="10" t="s">
        <v>31</v>
      </c>
      <c r="C11" s="12" t="s">
        <v>13</v>
      </c>
      <c r="D11" s="24" t="s">
        <v>38</v>
      </c>
    </row>
    <row r="12" spans="1:4" ht="19.5" thickBot="1" x14ac:dyDescent="0.45">
      <c r="A12" s="16" t="s">
        <v>9</v>
      </c>
      <c r="B12" s="25" t="s">
        <v>32</v>
      </c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0442</v>
      </c>
      <c r="B2" t="str">
        <f>IF(顧客名簿!B3="","",顧客名簿!B3)</f>
        <v>村田　玲緒</v>
      </c>
      <c r="C2" t="str">
        <f>IF(顧客名簿!B4="","",顧客名簿!B4)</f>
        <v>むらたれお</v>
      </c>
      <c r="D2" t="str">
        <f>IF(顧客名簿!B5="","",顧客名簿!B5)</f>
        <v>751-0852</v>
      </c>
      <c r="E2" t="str">
        <f>IF(顧客名簿!B6="","",顧客名簿!B6)</f>
        <v>山口県下関市熊野町</v>
      </c>
      <c r="F2" t="str">
        <f>IF(顧客名簿!B7="","",顧客名簿!B7)</f>
        <v>2丁目17番23号</v>
      </c>
      <c r="G2" t="str">
        <f>IF(顧客名簿!B8="","",顧客名簿!B8)</f>
        <v>080-6518-3663</v>
      </c>
      <c r="H2" t="str">
        <f>IF(顧客名簿!B9="","",顧客名簿!B9)</f>
        <v/>
      </c>
      <c r="I2" t="str">
        <f>IF(顧客名簿!B10="","",顧客名簿!B10)</f>
        <v>株式会社　玲明</v>
      </c>
      <c r="J2" t="str">
        <f>IF(顧客名簿!B11="","",顧客名簿!B11)</f>
        <v>751-0852</v>
      </c>
      <c r="K2" t="str">
        <f>IF(顧客名簿!B12="","",顧客名簿!B12)</f>
        <v>山口県下関市熊野町</v>
      </c>
      <c r="L2" t="str">
        <f>IF(顧客名簿!D2="","",顧客名簿!D2)</f>
        <v>2丁目17番23号</v>
      </c>
      <c r="M2" t="str">
        <f>IF(顧客名簿!D3="","",顧客名簿!D3)</f>
        <v>083-237-9334</v>
      </c>
      <c r="N2" t="str">
        <f>IF(顧客名簿!D4="","",顧客名簿!D4)</f>
        <v>トヨタプリウス</v>
      </c>
      <c r="O2" t="str">
        <f>IF(顧客名簿!D5="","",顧客名簿!D5)</f>
        <v>下関300た7066</v>
      </c>
      <c r="P2" t="str">
        <f>IF(顧客名簿!D6="","",顧客名簿!D6)</f>
        <v>ZVW51-6140675</v>
      </c>
      <c r="Q2" t="str">
        <f>IF(顧客名簿!D7="","",顧客名簿!D7)</f>
        <v>18208</v>
      </c>
      <c r="R2" t="str">
        <f>IF(顧客名簿!D8="","",顧客名簿!D8)</f>
        <v>0018</v>
      </c>
      <c r="S2" t="str">
        <f>IF(顧客名簿!D9="","",顧客名簿!D9)</f>
        <v>R1.12</v>
      </c>
      <c r="T2" s="21">
        <f>IF(顧客名簿!D10="","",顧客名簿!D10)</f>
        <v>46374</v>
      </c>
      <c r="U2" s="20" t="str">
        <f>IF(顧客名簿!D11="","",顧客名簿!D11)</f>
        <v>備考：上杉健太様分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2024-12-25T02:35:41Z</dcterms:modified>
</cp:coreProperties>
</file>