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02やまもと山本剛様(ｴｳﾞﾘｨ)/"/>
    </mc:Choice>
  </mc:AlternateContent>
  <xr:revisionPtr revIDLastSave="160" documentId="13_ncr:1_{988AED68-9146-4E74-AF77-88EF55B5B004}" xr6:coauthVersionLast="47" xr6:coauthVersionMax="47" xr10:uidLastSave="{86972D7B-E3E8-473D-90E1-03C3FA9B3157}"/>
  <bookViews>
    <workbookView xWindow="10305" yWindow="9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G36" i="4" s="1"/>
  <c r="F16" i="4"/>
  <c r="G37" i="4" s="1"/>
  <c r="B11" i="4"/>
  <c r="B10" i="4"/>
  <c r="B9" i="4"/>
  <c r="B8" i="4"/>
  <c r="B6" i="4"/>
  <c r="B5" i="4"/>
  <c r="B4" i="4"/>
  <c r="B3" i="4"/>
  <c r="G38" i="4" l="1"/>
  <c r="B13" i="4" s="1"/>
  <c r="A2" i="3"/>
  <c r="B3" i="2" l="1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G37" i="2"/>
  <c r="K2" i="3" s="1"/>
  <c r="G36" i="2" l="1"/>
  <c r="G38" i="2" l="1"/>
  <c r="J2" i="3"/>
  <c r="B13" i="2" l="1"/>
  <c r="L2" i="3"/>
</calcChain>
</file>

<file path=xl/sharedStrings.xml><?xml version="1.0" encoding="utf-8"?>
<sst xmlns="http://schemas.openxmlformats.org/spreadsheetml/2006/main" count="68" uniqueCount="44">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</sst>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yyyy&quot;年&quot;m&quot;月&quot;d&quot;日&quot;;@"/>
    <numFmt numFmtId="178" formatCode="@&quot;様&quot;"/>
    <numFmt numFmtId="179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0">
    <border>
      <left/>
      <right/>
      <top/>
      <bottom/>
      <diagonal/>
    </border>
    <border>
      <left/>
      <right style="thick">
        <color theme="1"/>
      </right>
      <top style="thick">
        <color theme="1"/>
      </top>
      <bottom style="medium">
        <color theme="1"/>
      </bottom>
      <diagonal/>
    </border>
    <border>
      <left/>
      <right/>
      <top style="thick">
        <color theme="1"/>
      </top>
      <bottom style="medium">
        <color theme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theme="1"/>
      </right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4" fillId="0" borderId="0" xfId="0" applyFont="1">
      <alignment vertical="center"/>
    </xf>
    <xf numFmtId="38" fontId="0" fillId="0" borderId="13" xfId="1" applyFont="1" applyBorder="1">
      <alignment vertical="center"/>
    </xf>
    <xf numFmtId="38" fontId="0" fillId="0" borderId="18" xfId="1" applyFont="1" applyBorder="1">
      <alignment vertical="center"/>
    </xf>
    <xf numFmtId="0" fontId="5" fillId="2" borderId="23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7" fillId="0" borderId="25" xfId="0" applyFont="1" applyBorder="1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2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27" xfId="0" applyBorder="1" applyAlignment="1">
      <alignment horizontal="left" vertical="center"/>
    </xf>
    <xf numFmtId="0" fontId="9" fillId="0" borderId="27" xfId="0" applyFont="1" applyBorder="1" applyAlignment="1">
      <alignment horizontal="left" vertical="center" indent="3"/>
    </xf>
    <xf numFmtId="0" fontId="3" fillId="0" borderId="2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0" fillId="0" borderId="26" xfId="0" applyBorder="1" applyAlignment="1">
      <alignment horizontal="left" vertical="center"/>
    </xf>
    <xf numFmtId="49" fontId="0" fillId="0" borderId="26" xfId="0" applyNumberFormat="1" applyBorder="1" applyAlignment="1">
      <alignment horizontal="left" vertical="center"/>
    </xf>
    <xf numFmtId="9" fontId="0" fillId="0" borderId="18" xfId="2" applyFont="1" applyBorder="1" applyProtection="1">
      <alignment vertical="center"/>
      <protection locked="0"/>
    </xf>
    <xf numFmtId="9" fontId="0" fillId="0" borderId="13" xfId="2" applyFont="1" applyBorder="1" applyProtection="1">
      <alignment vertical="center"/>
      <protection locked="0"/>
    </xf>
    <xf numFmtId="49" fontId="0" fillId="0" borderId="20" xfId="0" applyNumberFormat="1" applyBorder="1" applyAlignment="1" applyProtection="1">
      <alignment vertical="center" shrinkToFit="1"/>
      <protection locked="0"/>
    </xf>
    <xf numFmtId="49" fontId="0" fillId="0" borderId="19" xfId="0" applyNumberFormat="1" applyBorder="1" applyAlignment="1" applyProtection="1">
      <alignment vertical="center" shrinkToFit="1"/>
      <protection locked="0"/>
    </xf>
    <xf numFmtId="179" fontId="0" fillId="0" borderId="20" xfId="0" applyNumberFormat="1" applyBorder="1" applyAlignment="1" applyProtection="1">
      <alignment vertical="center" shrinkToFit="1"/>
      <protection locked="0"/>
    </xf>
    <xf numFmtId="49" fontId="0" fillId="0" borderId="15" xfId="0" applyNumberFormat="1" applyBorder="1" applyAlignment="1" applyProtection="1">
      <alignment vertical="center" shrinkToFit="1"/>
      <protection locked="0"/>
    </xf>
    <xf numFmtId="179" fontId="0" fillId="0" borderId="15" xfId="0" applyNumberFormat="1" applyBorder="1" applyAlignment="1" applyProtection="1">
      <alignment vertical="center" shrinkToFit="1"/>
      <protection locked="0"/>
    </xf>
    <xf numFmtId="179" fontId="0" fillId="0" borderId="18" xfId="0" applyNumberFormat="1" applyBorder="1" applyProtection="1">
      <alignment vertical="center"/>
      <protection locked="0"/>
    </xf>
    <xf numFmtId="179" fontId="0" fillId="0" borderId="18" xfId="1" applyNumberFormat="1" applyFont="1" applyBorder="1" applyProtection="1">
      <alignment vertical="center"/>
      <protection locked="0"/>
    </xf>
    <xf numFmtId="179" fontId="0" fillId="0" borderId="29" xfId="0" applyNumberFormat="1" applyBorder="1" applyAlignment="1" applyProtection="1">
      <alignment vertical="center" shrinkToFit="1"/>
      <protection locked="0"/>
    </xf>
    <xf numFmtId="179" fontId="0" fillId="0" borderId="13" xfId="0" applyNumberFormat="1" applyBorder="1" applyProtection="1">
      <alignment vertical="center"/>
      <protection locked="0"/>
    </xf>
    <xf numFmtId="179" fontId="0" fillId="0" borderId="13" xfId="1" applyNumberFormat="1" applyFont="1" applyBorder="1" applyProtection="1">
      <alignment vertical="center"/>
      <protection locked="0"/>
    </xf>
    <xf numFmtId="0" fontId="0" fillId="0" borderId="20" xfId="0" applyBorder="1" applyAlignment="1" applyProtection="1">
      <alignment horizontal="left" vertical="center" shrinkToFit="1"/>
      <protection locked="0"/>
    </xf>
    <xf numFmtId="0" fontId="0" fillId="0" borderId="19" xfId="0" applyBorder="1" applyAlignment="1" applyProtection="1">
      <alignment horizontal="left" vertical="center" shrinkToFit="1"/>
      <protection locked="0"/>
    </xf>
    <xf numFmtId="0" fontId="0" fillId="0" borderId="15" xfId="0" applyBorder="1" applyAlignment="1" applyProtection="1">
      <alignment horizontal="left" vertical="center" shrinkToFit="1"/>
      <protection locked="0"/>
    </xf>
    <xf numFmtId="0" fontId="0" fillId="0" borderId="14" xfId="0" applyBorder="1" applyAlignment="1" applyProtection="1">
      <alignment horizontal="left" vertical="center" shrinkToFit="1"/>
      <protection locked="0"/>
    </xf>
    <xf numFmtId="177" fontId="0" fillId="0" borderId="26" xfId="0" applyNumberFormat="1" applyBorder="1">
      <alignment vertical="center"/>
    </xf>
    <xf numFmtId="0" fontId="0" fillId="0" borderId="26" xfId="0" applyBorder="1">
      <alignment vertical="center"/>
    </xf>
    <xf numFmtId="38" fontId="0" fillId="0" borderId="26" xfId="0" applyNumberFormat="1" applyBorder="1">
      <alignment vertical="center"/>
    </xf>
    <xf numFmtId="0" fontId="3" fillId="0" borderId="26" xfId="0" applyFont="1" applyBorder="1" applyAlignment="1">
      <alignment horizontal="center" vertical="center"/>
    </xf>
    <xf numFmtId="38" fontId="3" fillId="0" borderId="2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7" fontId="0" fillId="0" borderId="0" xfId="0" applyNumberFormat="1" applyAlignment="1" applyProtection="1">
      <alignment horizontal="center" vertical="center"/>
      <protection locked="0"/>
    </xf>
    <xf numFmtId="178" fontId="3" fillId="0" borderId="27" xfId="0" applyNumberFormat="1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 indent="3"/>
    </xf>
    <xf numFmtId="0" fontId="3" fillId="0" borderId="2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27" xfId="0" applyNumberFormat="1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38" fontId="0" fillId="0" borderId="17" xfId="1" applyFont="1" applyBorder="1" applyAlignment="1">
      <alignment horizontal="right" vertical="center"/>
    </xf>
    <xf numFmtId="38" fontId="0" fillId="0" borderId="16" xfId="1" applyFont="1" applyBorder="1" applyAlignment="1">
      <alignment horizontal="right" vertical="center"/>
    </xf>
    <xf numFmtId="0" fontId="0" fillId="0" borderId="26" xfId="0" applyBorder="1" applyAlignment="1">
      <alignment horizontal="left" vertical="center"/>
    </xf>
    <xf numFmtId="49" fontId="0" fillId="0" borderId="2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176" fontId="7" fillId="0" borderId="25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0" fillId="0" borderId="12" xfId="1" applyFont="1" applyBorder="1" applyAlignment="1">
      <alignment horizontal="right" vertical="center"/>
    </xf>
    <xf numFmtId="38" fontId="0" fillId="0" borderId="11" xfId="1" applyFont="1" applyBorder="1" applyAlignment="1">
      <alignment horizontal="right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38" fontId="3" fillId="0" borderId="8" xfId="0" applyNumberFormat="1" applyFont="1" applyBorder="1">
      <alignment vertical="center"/>
    </xf>
    <xf numFmtId="0" fontId="3" fillId="0" borderId="7" xfId="0" applyFont="1" applyBorder="1">
      <alignment vertical="center"/>
    </xf>
    <xf numFmtId="177" fontId="0" fillId="0" borderId="0" xfId="0" applyNumberFormat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02&#12420;&#12414;&#12418;&#12392;&#23665;&#26412;&#21083;&#27096;(&#65396;&#65395;&#65438;&#65432;&#65384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山本　剛</v>
          </cell>
        </row>
        <row r="4">
          <cell r="D4" t="str">
            <v>スズキエヴリィ</v>
          </cell>
        </row>
        <row r="5">
          <cell r="D5" t="str">
            <v>下関580り7</v>
          </cell>
        </row>
        <row r="6">
          <cell r="B6" t="str">
            <v>山口県下関市田倉</v>
          </cell>
          <cell r="D6" t="str">
            <v>DA64W-248979</v>
          </cell>
        </row>
        <row r="7">
          <cell r="B7" t="str">
            <v>125-5</v>
          </cell>
          <cell r="D7" t="str">
            <v>15133</v>
          </cell>
        </row>
        <row r="8">
          <cell r="B8" t="str">
            <v>090-9061-7286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K11" sqref="K11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40" t="s">
        <v>31</v>
      </c>
      <c r="B1" s="40"/>
      <c r="C1" s="40"/>
      <c r="D1" s="40"/>
      <c r="E1" s="40"/>
      <c r="F1" s="40"/>
      <c r="G1" s="40"/>
      <c r="H1" s="40"/>
    </row>
    <row r="2" spans="1:8" x14ac:dyDescent="0.4">
      <c r="F2" s="15" t="s">
        <v>32</v>
      </c>
      <c r="G2" s="41"/>
      <c r="H2" s="41"/>
    </row>
    <row r="3" spans="1:8" ht="25.5" x14ac:dyDescent="0.4">
      <c r="A3" s="14" t="s">
        <v>27</v>
      </c>
      <c r="B3" s="42" t="str">
        <f>[1]顧客名簿!$B$3</f>
        <v>山本　剛</v>
      </c>
      <c r="C3" s="42"/>
      <c r="D3" s="42"/>
      <c r="F3" s="40" t="s">
        <v>26</v>
      </c>
      <c r="G3" s="40"/>
      <c r="H3" s="40"/>
    </row>
    <row r="4" spans="1:8" ht="18.75" customHeight="1" x14ac:dyDescent="0.4">
      <c r="A4" s="43" t="s">
        <v>25</v>
      </c>
      <c r="B4" s="45" t="str">
        <f>[1]顧客名簿!$B$6</f>
        <v>山口県下関市田倉</v>
      </c>
      <c r="C4" s="45"/>
      <c r="D4" s="45"/>
      <c r="F4" t="s">
        <v>24</v>
      </c>
    </row>
    <row r="5" spans="1:8" ht="18.75" customHeight="1" x14ac:dyDescent="0.4">
      <c r="A5" s="44"/>
      <c r="B5" s="46" t="str">
        <f>[1]顧客名簿!$B$7</f>
        <v>125-5</v>
      </c>
      <c r="C5" s="47"/>
      <c r="D5" s="47"/>
      <c r="F5" t="s">
        <v>23</v>
      </c>
    </row>
    <row r="6" spans="1:8" ht="19.5" x14ac:dyDescent="0.4">
      <c r="A6" s="13" t="s">
        <v>22</v>
      </c>
      <c r="B6" s="12" t="str">
        <f>[1]顧客名簿!$B$8</f>
        <v>090-9061-7286</v>
      </c>
      <c r="F6" t="s">
        <v>21</v>
      </c>
    </row>
    <row r="7" spans="1:8" x14ac:dyDescent="0.4">
      <c r="F7" t="s">
        <v>20</v>
      </c>
    </row>
    <row r="8" spans="1:8" x14ac:dyDescent="0.4">
      <c r="A8" s="10" t="s">
        <v>19</v>
      </c>
      <c r="B8" s="50" t="str">
        <f>[1]顧客名簿!$D$4</f>
        <v>スズキエヴリィ</v>
      </c>
      <c r="C8" s="50"/>
      <c r="D8" s="50"/>
      <c r="F8" s="11"/>
      <c r="G8" s="11"/>
      <c r="H8" s="11"/>
    </row>
    <row r="9" spans="1:8" ht="18.75" customHeight="1" x14ac:dyDescent="0.4">
      <c r="A9" s="10" t="s">
        <v>17</v>
      </c>
      <c r="B9" s="51" t="str">
        <f>[1]顧客名簿!$D$7</f>
        <v>15133</v>
      </c>
      <c r="C9" s="50"/>
      <c r="D9" s="50"/>
      <c r="F9" s="52"/>
      <c r="G9" s="52"/>
      <c r="H9" s="52"/>
    </row>
    <row r="10" spans="1:8" ht="18.75" customHeight="1" x14ac:dyDescent="0.4">
      <c r="A10" s="10" t="s">
        <v>15</v>
      </c>
      <c r="B10" s="50" t="str">
        <f>[1]顧客名簿!$D$5</f>
        <v>下関580り7</v>
      </c>
      <c r="C10" s="50"/>
      <c r="D10" s="50"/>
      <c r="F10" s="52"/>
      <c r="G10" s="52"/>
      <c r="H10" s="52"/>
    </row>
    <row r="11" spans="1:8" ht="18.75" customHeight="1" x14ac:dyDescent="0.4">
      <c r="A11" s="10" t="s">
        <v>13</v>
      </c>
      <c r="B11" s="50" t="str">
        <f>[1]顧客名簿!$D$6</f>
        <v>DA64W-248979</v>
      </c>
      <c r="C11" s="50"/>
      <c r="D11" s="50"/>
      <c r="F11" s="52"/>
      <c r="G11" s="52"/>
      <c r="H11" s="52"/>
    </row>
    <row r="12" spans="1:8" ht="18.75" customHeight="1" x14ac:dyDescent="0.4">
      <c r="A12" s="9"/>
      <c r="F12" s="8"/>
      <c r="G12" s="8"/>
      <c r="H12" s="8"/>
    </row>
    <row r="13" spans="1:8" ht="24.75" thickBot="1" x14ac:dyDescent="0.45">
      <c r="A13" s="7" t="s">
        <v>11</v>
      </c>
      <c r="B13" s="53">
        <f>G38</f>
        <v>0</v>
      </c>
      <c r="C13" s="53"/>
    </row>
    <row r="14" spans="1:8" ht="19.5" thickBot="1" x14ac:dyDescent="0.45"/>
    <row r="15" spans="1:8" x14ac:dyDescent="0.4">
      <c r="A15" s="6" t="s">
        <v>10</v>
      </c>
      <c r="B15" s="4" t="s">
        <v>9</v>
      </c>
      <c r="C15" s="4" t="s">
        <v>8</v>
      </c>
      <c r="D15" s="4" t="s">
        <v>7</v>
      </c>
      <c r="E15" s="5" t="s">
        <v>6</v>
      </c>
      <c r="F15" s="4" t="s">
        <v>5</v>
      </c>
      <c r="G15" s="54" t="s">
        <v>4</v>
      </c>
      <c r="H15" s="55"/>
    </row>
    <row r="16" spans="1:8" x14ac:dyDescent="0.4">
      <c r="A16" s="20"/>
      <c r="B16" s="20"/>
      <c r="C16" s="22"/>
      <c r="D16" s="22"/>
      <c r="E16" s="18"/>
      <c r="F16" s="3">
        <f t="shared" ref="F16:F35" si="0">C16*D16*E16</f>
        <v>0</v>
      </c>
      <c r="G16" s="48">
        <f t="shared" ref="G16:G35" si="1">D16*C16</f>
        <v>0</v>
      </c>
      <c r="H16" s="49"/>
    </row>
    <row r="17" spans="1:8" x14ac:dyDescent="0.4">
      <c r="A17" s="20"/>
      <c r="B17" s="20"/>
      <c r="C17" s="22"/>
      <c r="D17" s="22"/>
      <c r="E17" s="18"/>
      <c r="F17" s="3">
        <f t="shared" si="0"/>
        <v>0</v>
      </c>
      <c r="G17" s="48">
        <f t="shared" si="1"/>
        <v>0</v>
      </c>
      <c r="H17" s="49"/>
    </row>
    <row r="18" spans="1:8" x14ac:dyDescent="0.4">
      <c r="A18" s="20"/>
      <c r="B18" s="20"/>
      <c r="C18" s="22"/>
      <c r="D18" s="22"/>
      <c r="E18" s="18"/>
      <c r="F18" s="3">
        <f t="shared" si="0"/>
        <v>0</v>
      </c>
      <c r="G18" s="48">
        <f t="shared" si="1"/>
        <v>0</v>
      </c>
      <c r="H18" s="49"/>
    </row>
    <row r="19" spans="1:8" x14ac:dyDescent="0.4">
      <c r="A19" s="20"/>
      <c r="B19" s="20"/>
      <c r="C19" s="22"/>
      <c r="D19" s="22"/>
      <c r="E19" s="18"/>
      <c r="F19" s="3">
        <f t="shared" si="0"/>
        <v>0</v>
      </c>
      <c r="G19" s="48">
        <f t="shared" si="1"/>
        <v>0</v>
      </c>
      <c r="H19" s="49"/>
    </row>
    <row r="20" spans="1:8" x14ac:dyDescent="0.4">
      <c r="A20" s="20"/>
      <c r="B20" s="20"/>
      <c r="C20" s="22"/>
      <c r="D20" s="22"/>
      <c r="E20" s="18"/>
      <c r="F20" s="3">
        <f t="shared" si="0"/>
        <v>0</v>
      </c>
      <c r="G20" s="48">
        <f t="shared" si="1"/>
        <v>0</v>
      </c>
      <c r="H20" s="49"/>
    </row>
    <row r="21" spans="1:8" x14ac:dyDescent="0.4">
      <c r="A21" s="20"/>
      <c r="B21" s="20"/>
      <c r="C21" s="22"/>
      <c r="D21" s="22"/>
      <c r="E21" s="18"/>
      <c r="F21" s="3">
        <f t="shared" si="0"/>
        <v>0</v>
      </c>
      <c r="G21" s="48">
        <f t="shared" si="1"/>
        <v>0</v>
      </c>
      <c r="H21" s="49"/>
    </row>
    <row r="22" spans="1:8" x14ac:dyDescent="0.4">
      <c r="A22" s="20"/>
      <c r="B22" s="20"/>
      <c r="C22" s="22"/>
      <c r="D22" s="22"/>
      <c r="E22" s="18"/>
      <c r="F22" s="3">
        <f t="shared" si="0"/>
        <v>0</v>
      </c>
      <c r="G22" s="48">
        <f t="shared" si="1"/>
        <v>0</v>
      </c>
      <c r="H22" s="49"/>
    </row>
    <row r="23" spans="1:8" x14ac:dyDescent="0.4">
      <c r="A23" s="20"/>
      <c r="B23" s="20"/>
      <c r="C23" s="22"/>
      <c r="D23" s="22"/>
      <c r="E23" s="18"/>
      <c r="F23" s="3">
        <f t="shared" si="0"/>
        <v>0</v>
      </c>
      <c r="G23" s="48">
        <f t="shared" si="1"/>
        <v>0</v>
      </c>
      <c r="H23" s="49"/>
    </row>
    <row r="24" spans="1:8" x14ac:dyDescent="0.4">
      <c r="A24" s="20"/>
      <c r="B24" s="20"/>
      <c r="C24" s="22"/>
      <c r="D24" s="22"/>
      <c r="E24" s="18"/>
      <c r="F24" s="3">
        <f t="shared" si="0"/>
        <v>0</v>
      </c>
      <c r="G24" s="48">
        <f t="shared" si="1"/>
        <v>0</v>
      </c>
      <c r="H24" s="49"/>
    </row>
    <row r="25" spans="1:8" x14ac:dyDescent="0.4">
      <c r="A25" s="20"/>
      <c r="B25" s="20"/>
      <c r="C25" s="22"/>
      <c r="D25" s="22"/>
      <c r="E25" s="18"/>
      <c r="F25" s="3">
        <f t="shared" si="0"/>
        <v>0</v>
      </c>
      <c r="G25" s="48">
        <f t="shared" si="1"/>
        <v>0</v>
      </c>
      <c r="H25" s="49"/>
    </row>
    <row r="26" spans="1:8" x14ac:dyDescent="0.4">
      <c r="A26" s="20"/>
      <c r="B26" s="20"/>
      <c r="C26" s="22"/>
      <c r="D26" s="22"/>
      <c r="E26" s="18"/>
      <c r="F26" s="3">
        <f t="shared" si="0"/>
        <v>0</v>
      </c>
      <c r="G26" s="48">
        <f t="shared" si="1"/>
        <v>0</v>
      </c>
      <c r="H26" s="49"/>
    </row>
    <row r="27" spans="1:8" x14ac:dyDescent="0.4">
      <c r="A27" s="20"/>
      <c r="B27" s="20"/>
      <c r="C27" s="22"/>
      <c r="D27" s="22"/>
      <c r="E27" s="18"/>
      <c r="F27" s="3">
        <f t="shared" si="0"/>
        <v>0</v>
      </c>
      <c r="G27" s="48">
        <f t="shared" si="1"/>
        <v>0</v>
      </c>
      <c r="H27" s="49"/>
    </row>
    <row r="28" spans="1:8" x14ac:dyDescent="0.4">
      <c r="A28" s="20"/>
      <c r="B28" s="20"/>
      <c r="C28" s="22"/>
      <c r="D28" s="22"/>
      <c r="E28" s="18"/>
      <c r="F28" s="3">
        <f t="shared" si="0"/>
        <v>0</v>
      </c>
      <c r="G28" s="48">
        <f t="shared" si="1"/>
        <v>0</v>
      </c>
      <c r="H28" s="49"/>
    </row>
    <row r="29" spans="1:8" x14ac:dyDescent="0.4">
      <c r="A29" s="20"/>
      <c r="B29" s="20"/>
      <c r="C29" s="22"/>
      <c r="D29" s="22"/>
      <c r="E29" s="18"/>
      <c r="F29" s="3">
        <f t="shared" si="0"/>
        <v>0</v>
      </c>
      <c r="G29" s="48">
        <f t="shared" si="1"/>
        <v>0</v>
      </c>
      <c r="H29" s="49"/>
    </row>
    <row r="30" spans="1:8" x14ac:dyDescent="0.4">
      <c r="A30" s="20"/>
      <c r="B30" s="20"/>
      <c r="C30" s="22"/>
      <c r="D30" s="22"/>
      <c r="E30" s="18"/>
      <c r="F30" s="3">
        <f t="shared" si="0"/>
        <v>0</v>
      </c>
      <c r="G30" s="48">
        <f t="shared" si="1"/>
        <v>0</v>
      </c>
      <c r="H30" s="49"/>
    </row>
    <row r="31" spans="1:8" x14ac:dyDescent="0.4">
      <c r="A31" s="20"/>
      <c r="B31" s="20"/>
      <c r="C31" s="22"/>
      <c r="D31" s="22"/>
      <c r="E31" s="18"/>
      <c r="F31" s="3">
        <f t="shared" si="0"/>
        <v>0</v>
      </c>
      <c r="G31" s="48">
        <f t="shared" si="1"/>
        <v>0</v>
      </c>
      <c r="H31" s="49"/>
    </row>
    <row r="32" spans="1:8" x14ac:dyDescent="0.4">
      <c r="A32" s="20"/>
      <c r="B32" s="20"/>
      <c r="C32" s="22"/>
      <c r="D32" s="22"/>
      <c r="E32" s="18"/>
      <c r="F32" s="3">
        <f t="shared" si="0"/>
        <v>0</v>
      </c>
      <c r="G32" s="48">
        <f t="shared" si="1"/>
        <v>0</v>
      </c>
      <c r="H32" s="49"/>
    </row>
    <row r="33" spans="1:8" x14ac:dyDescent="0.4">
      <c r="A33" s="20"/>
      <c r="B33" s="20"/>
      <c r="C33" s="22"/>
      <c r="D33" s="22"/>
      <c r="E33" s="18"/>
      <c r="F33" s="3">
        <f t="shared" si="0"/>
        <v>0</v>
      </c>
      <c r="G33" s="48">
        <f t="shared" si="1"/>
        <v>0</v>
      </c>
      <c r="H33" s="49"/>
    </row>
    <row r="34" spans="1:8" x14ac:dyDescent="0.4">
      <c r="A34" s="20"/>
      <c r="B34" s="20"/>
      <c r="C34" s="22"/>
      <c r="D34" s="22"/>
      <c r="E34" s="18"/>
      <c r="F34" s="3">
        <f t="shared" si="0"/>
        <v>0</v>
      </c>
      <c r="G34" s="48">
        <f t="shared" si="1"/>
        <v>0</v>
      </c>
      <c r="H34" s="49"/>
    </row>
    <row r="35" spans="1:8" ht="19.5" thickBot="1" x14ac:dyDescent="0.45">
      <c r="A35" s="23"/>
      <c r="B35" s="23"/>
      <c r="C35" s="27"/>
      <c r="D35" s="24"/>
      <c r="E35" s="19"/>
      <c r="F35" s="2">
        <f t="shared" si="0"/>
        <v>0</v>
      </c>
      <c r="G35" s="62">
        <f t="shared" si="1"/>
        <v>0</v>
      </c>
      <c r="H35" s="63"/>
    </row>
    <row r="36" spans="1:8" ht="19.5" thickBot="1" x14ac:dyDescent="0.45">
      <c r="A36" s="1" t="s">
        <v>3</v>
      </c>
      <c r="E36" s="64" t="s">
        <v>2</v>
      </c>
      <c r="F36" s="65"/>
      <c r="G36" s="66">
        <f>SUM(G16:H35)</f>
        <v>0</v>
      </c>
      <c r="H36" s="67"/>
    </row>
    <row r="37" spans="1:8" ht="20.25" thickTop="1" thickBot="1" x14ac:dyDescent="0.45">
      <c r="B37" s="1"/>
      <c r="C37" s="1"/>
      <c r="E37" s="56" t="s">
        <v>1</v>
      </c>
      <c r="F37" s="57"/>
      <c r="G37" s="58">
        <f>SUM(F16:F35)</f>
        <v>0</v>
      </c>
      <c r="H37" s="59"/>
    </row>
    <row r="38" spans="1:8" ht="20.25" thickTop="1" thickBot="1" x14ac:dyDescent="0.45">
      <c r="E38" s="60" t="s">
        <v>0</v>
      </c>
      <c r="F38" s="61"/>
      <c r="G38" s="58">
        <f>SUM(G36:H37)</f>
        <v>0</v>
      </c>
      <c r="H38" s="59"/>
    </row>
  </sheetData>
  <sheetProtection sheet="1" objects="1" scenarios="1"/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topLeftCell="A7" workbookViewId="0">
      <selection activeCell="O17" sqref="O1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40" t="s">
        <v>28</v>
      </c>
      <c r="B1" s="40"/>
      <c r="C1" s="40"/>
      <c r="D1" s="40"/>
      <c r="E1" s="40"/>
      <c r="F1" s="40"/>
      <c r="G1" s="40"/>
      <c r="H1" s="40"/>
    </row>
    <row r="2" spans="1:8" x14ac:dyDescent="0.4">
      <c r="F2" s="15" t="s">
        <v>33</v>
      </c>
      <c r="G2" s="68">
        <f>見積書!G2</f>
        <v>0</v>
      </c>
      <c r="H2" s="68"/>
    </row>
    <row r="3" spans="1:8" ht="25.5" x14ac:dyDescent="0.4">
      <c r="A3" s="14" t="s">
        <v>27</v>
      </c>
      <c r="B3" s="42" t="str">
        <f>[1]顧客名簿!$B$3</f>
        <v>山本　剛</v>
      </c>
      <c r="C3" s="42"/>
      <c r="D3" s="42"/>
      <c r="F3" s="40" t="s">
        <v>26</v>
      </c>
      <c r="G3" s="40"/>
      <c r="H3" s="40"/>
    </row>
    <row r="4" spans="1:8" ht="18.75" customHeight="1" x14ac:dyDescent="0.4">
      <c r="A4" s="43" t="s">
        <v>25</v>
      </c>
      <c r="B4" s="45" t="str">
        <f>[1]顧客名簿!$B$6</f>
        <v>山口県下関市田倉</v>
      </c>
      <c r="C4" s="45"/>
      <c r="D4" s="45"/>
      <c r="F4" t="s">
        <v>24</v>
      </c>
    </row>
    <row r="5" spans="1:8" ht="18.75" customHeight="1" x14ac:dyDescent="0.4">
      <c r="A5" s="44"/>
      <c r="B5" s="46" t="str">
        <f>[1]顧客名簿!$B$7</f>
        <v>125-5</v>
      </c>
      <c r="C5" s="47"/>
      <c r="D5" s="47"/>
      <c r="F5" t="s">
        <v>23</v>
      </c>
    </row>
    <row r="6" spans="1:8" ht="19.5" x14ac:dyDescent="0.4">
      <c r="A6" s="13" t="s">
        <v>22</v>
      </c>
      <c r="B6" s="12" t="str">
        <f>[1]顧客名簿!$B$8</f>
        <v>090-9061-7286</v>
      </c>
      <c r="F6" t="s">
        <v>21</v>
      </c>
    </row>
    <row r="7" spans="1:8" x14ac:dyDescent="0.4">
      <c r="F7" t="s">
        <v>20</v>
      </c>
    </row>
    <row r="8" spans="1:8" x14ac:dyDescent="0.4">
      <c r="A8" s="10" t="s">
        <v>19</v>
      </c>
      <c r="B8" s="50" t="str">
        <f>[1]顧客名簿!$D$4</f>
        <v>スズキエヴリィ</v>
      </c>
      <c r="C8" s="50"/>
      <c r="D8" s="50"/>
      <c r="F8" s="11" t="s">
        <v>18</v>
      </c>
      <c r="G8" s="11"/>
      <c r="H8" s="11"/>
    </row>
    <row r="9" spans="1:8" ht="18.75" customHeight="1" x14ac:dyDescent="0.4">
      <c r="A9" s="10" t="s">
        <v>17</v>
      </c>
      <c r="B9" s="51" t="str">
        <f>[1]顧客名簿!$D$7</f>
        <v>15133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10" t="s">
        <v>15</v>
      </c>
      <c r="B10" s="50" t="str">
        <f>[1]顧客名簿!$D$5</f>
        <v>下関580り7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10" t="s">
        <v>13</v>
      </c>
      <c r="B11" s="50" t="str">
        <f>[1]顧客名簿!$D$6</f>
        <v>DA64W-248979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9"/>
      <c r="F12" s="8"/>
      <c r="G12" s="8"/>
      <c r="H12" s="8"/>
    </row>
    <row r="13" spans="1:8" ht="24.75" thickBot="1" x14ac:dyDescent="0.45">
      <c r="A13" s="7" t="s">
        <v>11</v>
      </c>
      <c r="B13" s="53">
        <f>G38</f>
        <v>0</v>
      </c>
      <c r="C13" s="53"/>
    </row>
    <row r="14" spans="1:8" ht="19.5" thickBot="1" x14ac:dyDescent="0.45"/>
    <row r="15" spans="1:8" x14ac:dyDescent="0.4">
      <c r="A15" s="6" t="s">
        <v>10</v>
      </c>
      <c r="B15" s="4" t="s">
        <v>9</v>
      </c>
      <c r="C15" s="4" t="s">
        <v>8</v>
      </c>
      <c r="D15" s="4" t="s">
        <v>7</v>
      </c>
      <c r="E15" s="5" t="s">
        <v>6</v>
      </c>
      <c r="F15" s="4" t="s">
        <v>5</v>
      </c>
      <c r="G15" s="54" t="s">
        <v>4</v>
      </c>
      <c r="H15" s="55"/>
    </row>
    <row r="16" spans="1:8" x14ac:dyDescent="0.4">
      <c r="A16" s="20"/>
      <c r="B16" s="21"/>
      <c r="C16" s="25"/>
      <c r="D16" s="26"/>
      <c r="E16" s="18"/>
      <c r="F16" s="3">
        <f t="shared" ref="F16:F35" si="0">C16*D16*E16</f>
        <v>0</v>
      </c>
      <c r="G16" s="48">
        <f t="shared" ref="G16:G35" si="1">D16*C16</f>
        <v>0</v>
      </c>
      <c r="H16" s="49"/>
    </row>
    <row r="17" spans="1:8" x14ac:dyDescent="0.4">
      <c r="A17" s="30"/>
      <c r="B17" s="31"/>
      <c r="C17" s="25"/>
      <c r="D17" s="26"/>
      <c r="E17" s="18"/>
      <c r="F17" s="3">
        <f t="shared" si="0"/>
        <v>0</v>
      </c>
      <c r="G17" s="48">
        <f t="shared" si="1"/>
        <v>0</v>
      </c>
      <c r="H17" s="49"/>
    </row>
    <row r="18" spans="1:8" x14ac:dyDescent="0.4">
      <c r="A18" s="30"/>
      <c r="B18" s="31"/>
      <c r="C18" s="25"/>
      <c r="D18" s="26"/>
      <c r="E18" s="18"/>
      <c r="F18" s="3">
        <f t="shared" si="0"/>
        <v>0</v>
      </c>
      <c r="G18" s="48">
        <f t="shared" si="1"/>
        <v>0</v>
      </c>
      <c r="H18" s="49"/>
    </row>
    <row r="19" spans="1:8" x14ac:dyDescent="0.4">
      <c r="A19" s="30"/>
      <c r="B19" s="31"/>
      <c r="C19" s="25"/>
      <c r="D19" s="26"/>
      <c r="E19" s="18"/>
      <c r="F19" s="3">
        <f t="shared" si="0"/>
        <v>0</v>
      </c>
      <c r="G19" s="48">
        <f t="shared" si="1"/>
        <v>0</v>
      </c>
      <c r="H19" s="49"/>
    </row>
    <row r="20" spans="1:8" x14ac:dyDescent="0.4">
      <c r="A20" s="30"/>
      <c r="B20" s="31"/>
      <c r="C20" s="25"/>
      <c r="D20" s="26"/>
      <c r="E20" s="18"/>
      <c r="F20" s="3">
        <f t="shared" si="0"/>
        <v>0</v>
      </c>
      <c r="G20" s="48">
        <f t="shared" si="1"/>
        <v>0</v>
      </c>
      <c r="H20" s="49"/>
    </row>
    <row r="21" spans="1:8" x14ac:dyDescent="0.4">
      <c r="A21" s="30"/>
      <c r="B21" s="31"/>
      <c r="C21" s="25"/>
      <c r="D21" s="26"/>
      <c r="E21" s="18"/>
      <c r="F21" s="3">
        <f t="shared" si="0"/>
        <v>0</v>
      </c>
      <c r="G21" s="48">
        <f t="shared" si="1"/>
        <v>0</v>
      </c>
      <c r="H21" s="49"/>
    </row>
    <row r="22" spans="1:8" x14ac:dyDescent="0.4">
      <c r="A22" s="30"/>
      <c r="B22" s="31"/>
      <c r="C22" s="25"/>
      <c r="D22" s="26"/>
      <c r="E22" s="18"/>
      <c r="F22" s="3">
        <f t="shared" si="0"/>
        <v>0</v>
      </c>
      <c r="G22" s="48">
        <f t="shared" si="1"/>
        <v>0</v>
      </c>
      <c r="H22" s="49"/>
    </row>
    <row r="23" spans="1:8" x14ac:dyDescent="0.4">
      <c r="A23" s="30"/>
      <c r="B23" s="31"/>
      <c r="C23" s="25"/>
      <c r="D23" s="26"/>
      <c r="E23" s="18"/>
      <c r="F23" s="3">
        <f t="shared" si="0"/>
        <v>0</v>
      </c>
      <c r="G23" s="48">
        <f t="shared" si="1"/>
        <v>0</v>
      </c>
      <c r="H23" s="49"/>
    </row>
    <row r="24" spans="1:8" x14ac:dyDescent="0.4">
      <c r="A24" s="30"/>
      <c r="B24" s="31"/>
      <c r="C24" s="25"/>
      <c r="D24" s="26"/>
      <c r="E24" s="18"/>
      <c r="F24" s="3">
        <f t="shared" si="0"/>
        <v>0</v>
      </c>
      <c r="G24" s="48">
        <f t="shared" si="1"/>
        <v>0</v>
      </c>
      <c r="H24" s="49"/>
    </row>
    <row r="25" spans="1:8" x14ac:dyDescent="0.4">
      <c r="A25" s="30"/>
      <c r="B25" s="31"/>
      <c r="C25" s="25"/>
      <c r="D25" s="26"/>
      <c r="E25" s="18"/>
      <c r="F25" s="3">
        <f t="shared" si="0"/>
        <v>0</v>
      </c>
      <c r="G25" s="48">
        <f t="shared" si="1"/>
        <v>0</v>
      </c>
      <c r="H25" s="49"/>
    </row>
    <row r="26" spans="1:8" x14ac:dyDescent="0.4">
      <c r="A26" s="30"/>
      <c r="B26" s="31"/>
      <c r="C26" s="25"/>
      <c r="D26" s="26"/>
      <c r="E26" s="18"/>
      <c r="F26" s="3">
        <f t="shared" si="0"/>
        <v>0</v>
      </c>
      <c r="G26" s="48">
        <f t="shared" si="1"/>
        <v>0</v>
      </c>
      <c r="H26" s="49"/>
    </row>
    <row r="27" spans="1:8" x14ac:dyDescent="0.4">
      <c r="A27" s="30"/>
      <c r="B27" s="31"/>
      <c r="C27" s="25"/>
      <c r="D27" s="26"/>
      <c r="E27" s="18"/>
      <c r="F27" s="3">
        <f t="shared" si="0"/>
        <v>0</v>
      </c>
      <c r="G27" s="48">
        <f t="shared" si="1"/>
        <v>0</v>
      </c>
      <c r="H27" s="49"/>
    </row>
    <row r="28" spans="1:8" x14ac:dyDescent="0.4">
      <c r="A28" s="30"/>
      <c r="B28" s="31"/>
      <c r="C28" s="25"/>
      <c r="D28" s="26"/>
      <c r="E28" s="18"/>
      <c r="F28" s="3">
        <f t="shared" si="0"/>
        <v>0</v>
      </c>
      <c r="G28" s="48">
        <f t="shared" si="1"/>
        <v>0</v>
      </c>
      <c r="H28" s="49"/>
    </row>
    <row r="29" spans="1:8" x14ac:dyDescent="0.4">
      <c r="A29" s="30"/>
      <c r="B29" s="31"/>
      <c r="C29" s="25"/>
      <c r="D29" s="26"/>
      <c r="E29" s="18"/>
      <c r="F29" s="3">
        <f t="shared" si="0"/>
        <v>0</v>
      </c>
      <c r="G29" s="48">
        <f t="shared" si="1"/>
        <v>0</v>
      </c>
      <c r="H29" s="49"/>
    </row>
    <row r="30" spans="1:8" x14ac:dyDescent="0.4">
      <c r="A30" s="30"/>
      <c r="B30" s="31"/>
      <c r="C30" s="25"/>
      <c r="D30" s="26"/>
      <c r="E30" s="18"/>
      <c r="F30" s="3">
        <f t="shared" si="0"/>
        <v>0</v>
      </c>
      <c r="G30" s="48">
        <f t="shared" si="1"/>
        <v>0</v>
      </c>
      <c r="H30" s="49"/>
    </row>
    <row r="31" spans="1:8" x14ac:dyDescent="0.4">
      <c r="A31" s="30"/>
      <c r="B31" s="31"/>
      <c r="C31" s="25"/>
      <c r="D31" s="26"/>
      <c r="E31" s="18"/>
      <c r="F31" s="3">
        <f t="shared" si="0"/>
        <v>0</v>
      </c>
      <c r="G31" s="48">
        <f t="shared" si="1"/>
        <v>0</v>
      </c>
      <c r="H31" s="49"/>
    </row>
    <row r="32" spans="1:8" x14ac:dyDescent="0.4">
      <c r="A32" s="30"/>
      <c r="B32" s="31"/>
      <c r="C32" s="25"/>
      <c r="D32" s="26"/>
      <c r="E32" s="18"/>
      <c r="F32" s="3">
        <f t="shared" si="0"/>
        <v>0</v>
      </c>
      <c r="G32" s="48">
        <f t="shared" si="1"/>
        <v>0</v>
      </c>
      <c r="H32" s="49"/>
    </row>
    <row r="33" spans="1:8" x14ac:dyDescent="0.4">
      <c r="A33" s="30"/>
      <c r="B33" s="31"/>
      <c r="C33" s="25"/>
      <c r="D33" s="26"/>
      <c r="E33" s="18"/>
      <c r="F33" s="3">
        <f t="shared" si="0"/>
        <v>0</v>
      </c>
      <c r="G33" s="48">
        <f t="shared" si="1"/>
        <v>0</v>
      </c>
      <c r="H33" s="49"/>
    </row>
    <row r="34" spans="1:8" x14ac:dyDescent="0.4">
      <c r="A34" s="30"/>
      <c r="B34" s="31"/>
      <c r="C34" s="25"/>
      <c r="D34" s="26"/>
      <c r="E34" s="18"/>
      <c r="F34" s="3">
        <f t="shared" si="0"/>
        <v>0</v>
      </c>
      <c r="G34" s="48">
        <f t="shared" si="1"/>
        <v>0</v>
      </c>
      <c r="H34" s="49"/>
    </row>
    <row r="35" spans="1:8" ht="19.5" thickBot="1" x14ac:dyDescent="0.45">
      <c r="A35" s="32"/>
      <c r="B35" s="33"/>
      <c r="C35" s="28"/>
      <c r="D35" s="29"/>
      <c r="E35" s="19"/>
      <c r="F35" s="2">
        <f t="shared" si="0"/>
        <v>0</v>
      </c>
      <c r="G35" s="62">
        <f t="shared" si="1"/>
        <v>0</v>
      </c>
      <c r="H35" s="63"/>
    </row>
    <row r="36" spans="1:8" ht="19.5" thickBot="1" x14ac:dyDescent="0.45">
      <c r="A36" s="1" t="s">
        <v>3</v>
      </c>
      <c r="E36" s="64" t="s">
        <v>2</v>
      </c>
      <c r="F36" s="65"/>
      <c r="G36" s="66">
        <f>SUM(G16:H35)</f>
        <v>0</v>
      </c>
      <c r="H36" s="67"/>
    </row>
    <row r="37" spans="1:8" ht="20.25" thickTop="1" thickBot="1" x14ac:dyDescent="0.45">
      <c r="B37" s="1"/>
      <c r="C37" s="1"/>
      <c r="E37" s="56" t="s">
        <v>1</v>
      </c>
      <c r="F37" s="57"/>
      <c r="G37" s="58">
        <f>SUM(F16:F35)</f>
        <v>0</v>
      </c>
      <c r="H37" s="59"/>
    </row>
    <row r="38" spans="1:8" ht="20.25" thickTop="1" thickBot="1" x14ac:dyDescent="0.45">
      <c r="E38" s="60" t="s">
        <v>0</v>
      </c>
      <c r="F38" s="61"/>
      <c r="G38" s="58">
        <f>SUM(G36:H37)</f>
        <v>0</v>
      </c>
      <c r="H38" s="59"/>
    </row>
  </sheetData>
  <sheetProtection sheet="1" objects="1" scenarios="1"/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E11" sqref="E11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39" customFormat="1" ht="18" x14ac:dyDescent="0.4">
      <c r="A1" s="37" t="s">
        <v>34</v>
      </c>
      <c r="B1" s="37" t="s">
        <v>35</v>
      </c>
      <c r="C1" s="37" t="s">
        <v>29</v>
      </c>
      <c r="D1" s="37" t="s">
        <v>30</v>
      </c>
      <c r="E1" s="37" t="s">
        <v>36</v>
      </c>
      <c r="F1" s="37" t="s">
        <v>37</v>
      </c>
      <c r="G1" s="37" t="s">
        <v>38</v>
      </c>
      <c r="H1" s="37" t="s">
        <v>39</v>
      </c>
      <c r="I1" s="37" t="s">
        <v>40</v>
      </c>
      <c r="J1" s="38" t="s">
        <v>41</v>
      </c>
      <c r="K1" s="37" t="s">
        <v>42</v>
      </c>
      <c r="L1" s="37" t="s">
        <v>43</v>
      </c>
    </row>
    <row r="2" spans="1:12" x14ac:dyDescent="0.4">
      <c r="A2" s="34">
        <f>請求書!G2</f>
        <v>0</v>
      </c>
      <c r="B2" s="16" t="str">
        <f>請求書!B3</f>
        <v>山本　剛</v>
      </c>
      <c r="C2" s="16" t="str">
        <f>請求書!B4</f>
        <v>山口県下関市田倉</v>
      </c>
      <c r="D2" s="17" t="str">
        <f>請求書!B5</f>
        <v>125-5</v>
      </c>
      <c r="E2" s="16" t="str">
        <f>請求書!B6</f>
        <v>090-9061-7286</v>
      </c>
      <c r="F2" s="16" t="str">
        <f>請求書!B8</f>
        <v>スズキエヴリィ</v>
      </c>
      <c r="G2" s="17" t="str">
        <f>請求書!B9</f>
        <v>15133</v>
      </c>
      <c r="H2" s="16" t="str">
        <f>請求書!B10</f>
        <v>下関580り7</v>
      </c>
      <c r="I2" s="35" t="str">
        <f>請求書!B11</f>
        <v>DA64W-248979</v>
      </c>
      <c r="J2" s="36">
        <f>請求書!G36</f>
        <v>0</v>
      </c>
      <c r="K2" s="36">
        <f>請求書!G37</f>
        <v>0</v>
      </c>
      <c r="L2" s="36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2025-07-18T01:24:24Z</dcterms:modified>
</cp:coreProperties>
</file>