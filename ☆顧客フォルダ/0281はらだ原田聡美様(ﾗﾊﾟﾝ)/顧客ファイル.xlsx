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81はらだ原田聡美様()/"/>
    </mc:Choice>
  </mc:AlternateContent>
  <xr:revisionPtr revIDLastSave="71" documentId="13_ncr:1_{2162476F-CA24-49B5-8D7A-4B7C6B7A7835}" xr6:coauthVersionLast="47" xr6:coauthVersionMax="47" xr10:uidLastSave="{5E138238-38D6-4EEE-B922-B243C65A0F0F}"/>
  <bookViews>
    <workbookView xWindow="-15" yWindow="11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<sst xmlns="http://schemas.openxmlformats.org/spreadsheetml/2006/main" count="35" uniqueCount="35">
  <si>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</si>
  <si>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</si>
  <si>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</si>
  <si>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</si>
  <si>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</si>
  <si>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</si>
  <si>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</si>
  <si>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</si>
  <si>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</si>
  <si>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</si>
  <si>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</si>
  <si>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</si>
  <si>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</si>
  <si>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</si>
  <si>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</si>
  <si>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</si>
  <si>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</si>
  <si>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</si>
  <si>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</si>
  <si>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</si>
  <si>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</si>
  <si>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</si>
  <si>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</si>
  <si>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原田　聡美</t>
    <rPh sb="0" eb="2">
      <t>ハラダ</t>
    </rPh>
    <rPh sb="3" eb="5">
      <t>サトミ</t>
    </rPh>
    <phoneticPr fontId="1"/>
  </si>
  <si>
    <t>はらださとみ</t>
    <phoneticPr fontId="1"/>
  </si>
  <si>
    <t>山口県下関市永田郷</t>
    <rPh sb="0" eb="9">
      <t>759-6534</t>
    </rPh>
    <phoneticPr fontId="1"/>
  </si>
  <si>
    <t>759-6534</t>
    <phoneticPr fontId="1"/>
  </si>
  <si>
    <t>090-8238-4141</t>
    <phoneticPr fontId="1"/>
  </si>
  <si>
    <t>スズキラパン</t>
    <phoneticPr fontId="1"/>
  </si>
  <si>
    <t>HE22S-419741</t>
    <phoneticPr fontId="1"/>
  </si>
  <si>
    <t>16173</t>
    <phoneticPr fontId="1"/>
  </si>
  <si>
    <t>0006</t>
    <phoneticPr fontId="1"/>
  </si>
  <si>
    <t>H25.6</t>
    <phoneticPr fontId="1"/>
  </si>
  <si>
    <t>1790</t>
    <phoneticPr fontId="1"/>
  </si>
  <si>
    <t>0281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</si>
</sst>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26</v>
      </c>
      <c r="C5" s="12" t="s">
        <v>20</v>
      </c>
      <c r="D5" s="26">
        <v>1008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33</v>
      </c>
      <c r="C7" s="25" t="s">
        <v>22</v>
      </c>
      <c r="D7" s="21" t="s">
        <v>30</v>
      </c>
    </row>
    <row r="8" spans="1:4" x14ac:dyDescent="0.4">
      <c r="A8" s="12" t="s">
        <v>5</v>
      </c>
      <c r="B8" s="8" t="s">
        <v>27</v>
      </c>
      <c r="C8" s="17" t="s">
        <v>19</v>
      </c>
      <c r="D8" s="22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3"/>
    </row>
    <row r="12" spans="1:4" ht="19.5" thickBot="1" x14ac:dyDescent="0.45">
      <c r="A12" s="16" t="s">
        <v>9</v>
      </c>
      <c r="B12" s="24"/>
      <c r="C12" s="14" t="s">
        <v>17</v>
      </c>
      <c r="D12" s="4"/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8" customFormat="1" ht="18" x14ac:dyDescent="0.4">
      <c r="A1" s="18" t="str">
        <f>顧客名簿!A2</f>
        <v>コード№</v>
      </c>
      <c r="B1" s="18" t="str">
        <f>顧客名簿!A3</f>
        <v>名　前</v>
      </c>
      <c r="C1" s="18" t="str">
        <f>顧客名簿!A4</f>
        <v>ふりがな</v>
      </c>
      <c r="D1" s="18" t="str">
        <f>顧客名簿!A5</f>
        <v>自宅郵便番号</v>
      </c>
      <c r="E1" s="18" t="str">
        <f>顧客名簿!A6</f>
        <v>自宅住所1</v>
      </c>
      <c r="F1" s="18" t="str">
        <f>顧客名簿!A7</f>
        <v>自宅住所2</v>
      </c>
      <c r="G1" s="18" t="str">
        <f>顧客名簿!A8</f>
        <v>携帯番号</v>
      </c>
      <c r="H1" s="18" t="str">
        <f>顧客名簿!A9</f>
        <v>自宅電話番号</v>
      </c>
      <c r="I1" s="18" t="str">
        <f>顧客名簿!A10</f>
        <v>会社名</v>
      </c>
      <c r="J1" s="18" t="str">
        <f>顧客名簿!A11</f>
        <v>会社郵便番号</v>
      </c>
      <c r="K1" s="18" t="str">
        <f>顧客名簿!A12</f>
        <v>会社住所1</v>
      </c>
      <c r="L1" s="18" t="str">
        <f>顧客名簿!C2</f>
        <v>会社住所2</v>
      </c>
      <c r="M1" s="18" t="str">
        <f>顧客名簿!C3</f>
        <v>会社電話番号</v>
      </c>
      <c r="N1" s="18" t="str">
        <f>顧客名簿!C4</f>
        <v>車　名</v>
      </c>
      <c r="O1" s="18" t="str">
        <f>顧客名簿!C5</f>
        <v>車両ナンバー</v>
      </c>
      <c r="P1" s="18" t="str">
        <f>顧客名簿!C6</f>
        <v>車台番号</v>
      </c>
      <c r="Q1" s="18" t="str">
        <f>顧客名簿!C7</f>
        <v>型式・年式番号</v>
      </c>
      <c r="R1" s="18" t="str">
        <f>顧客名簿!C8</f>
        <v>類別番号</v>
      </c>
      <c r="S1" s="18" t="str">
        <f>顧客名簿!C9</f>
        <v>初年度</v>
      </c>
      <c r="T1" s="18" t="str">
        <f>顧客名簿!C10</f>
        <v>次回車検満期日</v>
      </c>
      <c r="U1" s="18" t="str">
        <f>顧客名簿!C11</f>
        <v>紹介者</v>
      </c>
      <c r="V1" s="18" t="str">
        <f>顧客名簿!C12</f>
        <v>担当者</v>
      </c>
    </row>
    <row r="2" spans="1:22" x14ac:dyDescent="0.4">
      <c r="A2" t="str">
        <f>IF(顧客名簿!B2="","",顧客名簿!B2)</f>
        <v>0281</v>
      </c>
      <c r="B2" t="str">
        <f>IF(顧客名簿!B3="","",顧客名簿!B3)</f>
        <v>原田　聡美</v>
      </c>
      <c r="C2" t="str">
        <f>IF(顧客名簿!B4="","",顧客名簿!B4)</f>
        <v>はらださとみ</v>
      </c>
      <c r="D2" t="str">
        <f>IF(顧客名簿!B5="","",顧客名簿!B5)</f>
        <v>759-6534</v>
      </c>
      <c r="E2" t="str">
        <f>IF(顧客名簿!B6="","",顧客名簿!B6)</f>
        <v>山口県下関市永田郷</v>
      </c>
      <c r="F2" t="str">
        <f>IF(顧客名簿!B7="","",顧客名簿!B7)</f>
        <v>1790</v>
      </c>
      <c r="G2" t="str">
        <f>IF(顧客名簿!B8="","",顧客名簿!B8)</f>
        <v>090-8238-4141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スズキラパン</v>
      </c>
      <c r="O2">
        <f>IF(顧客名簿!D5="","",顧客名簿!D5)</f>
        <v>1008</v>
      </c>
      <c r="P2" t="str">
        <f>IF(顧客名簿!D6="","",顧客名簿!D6)</f>
        <v>HE22S-419741</v>
      </c>
      <c r="Q2" t="str">
        <f>IF(顧客名簿!D7="","",顧客名簿!D7)</f>
        <v>16173</v>
      </c>
      <c r="R2" t="str">
        <f>IF(顧客名簿!D8="","",顧客名簿!D8)</f>
        <v>0006</v>
      </c>
      <c r="S2" t="str">
        <f>IF(顧客名簿!D9="","",顧客名簿!D9)</f>
        <v>H25.6</v>
      </c>
      <c r="T2" s="20" t="str">
        <f>IF(顧客名簿!D10="","",顧客名簿!D10)</f>
        <v/>
      </c>
      <c r="U2" s="19" t="str">
        <f>IF(顧客名簿!D11="","",顧客名簿!D11)</f>
        <v/>
      </c>
      <c r="V2" s="19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2024-10-31T13:36:12Z</dcterms:modified>
</cp:coreProperties>
</file>