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37きむら木村銀次様/"/>
    </mc:Choice>
  </mc:AlternateContent>
  <xr:revisionPtr revIDLastSave="27" documentId="13_ncr:1_{1CB85908-E75D-46F2-8CB1-CB28FE68B0DB}" xr6:coauthVersionLast="47" xr6:coauthVersionMax="47" xr10:uidLastSave="{BD9D3F2A-047F-43D0-8456-24D0500E5CAB}"/>
  <bookViews>
    <workbookView xWindow="10275" yWindow="60" windowWidth="10110" windowHeight="10725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<sst xmlns="http://schemas.openxmlformats.org/spreadsheetml/2006/main" count="72" uniqueCount="45">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</sst>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37&#12365;&#12416;&#12425;&#26408;&#26449;&#37504;&#27425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木村　銀次</v>
          </cell>
        </row>
        <row r="4">
          <cell r="D4" t="str">
            <v>トヨタプリウス</v>
          </cell>
        </row>
        <row r="5">
          <cell r="D5" t="str">
            <v>下関333せ8118</v>
          </cell>
        </row>
        <row r="6">
          <cell r="B6" t="str">
            <v>山口県下関市王司神田</v>
          </cell>
          <cell r="D6" t="str">
            <v>MXWH60-4105952</v>
          </cell>
        </row>
        <row r="7">
          <cell r="B7" t="str">
            <v>1丁目6-25ハイツ高磯D号</v>
          </cell>
          <cell r="D7" t="str">
            <v>20560</v>
          </cell>
        </row>
        <row r="8">
          <cell r="B8" t="str">
            <v>080-1640-8477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31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32</v>
      </c>
      <c r="G2" s="57"/>
      <c r="H2" s="57"/>
    </row>
    <row r="3" spans="1:8" ht="25.5" x14ac:dyDescent="0.4">
      <c r="A3" s="7" t="s">
        <v>27</v>
      </c>
      <c r="B3" s="58" t="str">
        <f>[1]顧客名簿!$B$3</f>
        <v>木村　銀次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山口県下関市王司神田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1丁目6-25ハイツ高磯D号</v>
      </c>
      <c r="C5" s="63"/>
      <c r="D5" s="63"/>
      <c r="F5" t="s">
        <v>23</v>
      </c>
    </row>
    <row r="6" spans="1:8" ht="19.5" x14ac:dyDescent="0.4">
      <c r="A6" s="6" t="s">
        <v>22</v>
      </c>
      <c r="B6" s="5" t="str">
        <f>[1]顧客名簿!$B$8</f>
        <v>080-1640-8477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トヨタプリウス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20560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下関333せ8118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MXWH60-4105952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4" t="s">
        <v>4</v>
      </c>
      <c r="H15" s="55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46">
        <f t="shared" si="1"/>
        <v>0</v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38">
        <f>SUM(G16:H35)</f>
        <v>0</v>
      </c>
      <c r="H36" s="3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42">
        <f>SUM(G36:H37)</f>
        <v>0</v>
      </c>
      <c r="H38" s="43"/>
    </row>
  </sheetData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28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33</v>
      </c>
      <c r="G2" s="65">
        <f>見積書!G2</f>
        <v>0</v>
      </c>
      <c r="H2" s="65"/>
    </row>
    <row r="3" spans="1:8" ht="25.5" x14ac:dyDescent="0.4">
      <c r="A3" s="7" t="s">
        <v>27</v>
      </c>
      <c r="B3" s="58" t="str">
        <f>[1]顧客名簿!$B$3</f>
        <v>木村　銀次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山口県下関市王司神田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1丁目6-25ハイツ高磯D号</v>
      </c>
      <c r="C5" s="63"/>
      <c r="D5" s="63"/>
      <c r="F5" t="s">
        <v>23</v>
      </c>
    </row>
    <row r="6" spans="1:8" ht="19.5" x14ac:dyDescent="0.4">
      <c r="A6" s="6" t="s">
        <v>22</v>
      </c>
      <c r="B6" s="5" t="str">
        <f>[1]顧客名簿!$B$8</f>
        <v>080-1640-8477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トヨタプリウス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20560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下関333せ8118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MXWH60-4105952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6" t="s">
        <v>4</v>
      </c>
      <c r="H15" s="55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4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4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4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4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4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4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4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4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4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4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4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4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4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4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4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4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4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4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7" t="str">
        <f t="shared" si="1"/>
        <v/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68">
        <f>SUM(G16:H35)</f>
        <v>0</v>
      </c>
      <c r="H36" s="6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70">
        <f>SUM(G36:H37)</f>
        <v>0</v>
      </c>
      <c r="H38" s="71"/>
    </row>
  </sheetData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木村　銀次</v>
      </c>
      <c r="C2" s="21" t="str">
        <f>請求書!B4</f>
        <v>山口県下関市王司神田</v>
      </c>
      <c r="D2" s="21" t="str">
        <f>請求書!B5</f>
        <v>1丁目6-25ハイツ高磯D号</v>
      </c>
      <c r="E2" s="21" t="str">
        <f>請求書!B6</f>
        <v>080-1640-8477</v>
      </c>
      <c r="F2" s="21" t="str">
        <f>請求書!B8</f>
        <v>トヨタプリウス</v>
      </c>
      <c r="G2" s="21" t="str">
        <f>請求書!B9</f>
        <v>20560</v>
      </c>
      <c r="H2" s="21" t="str">
        <f>請求書!B10</f>
        <v>下関333せ8118</v>
      </c>
      <c r="I2" s="20" t="str">
        <f>請求書!B11</f>
        <v>MXWH60-4105952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2025-09-10T06:29:50Z</dcterms:modified>
</cp:coreProperties>
</file>