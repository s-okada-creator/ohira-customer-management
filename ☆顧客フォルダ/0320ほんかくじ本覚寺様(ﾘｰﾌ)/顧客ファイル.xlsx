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20ほんかくじ本覚寺様(ﾘｰﾌ)/"/>
    </mc:Choice>
  </mc:AlternateContent>
  <xr:revisionPtr revIDLastSave="65" documentId="13_ncr:1_{2162476F-CA24-49B5-8D7A-4B7C6B7A7835}" xr6:coauthVersionLast="47" xr6:coauthVersionMax="47" xr10:uidLastSave="{7A2FBBBE-AA27-41CB-83F4-31F7E602F67B}"/>
  <bookViews>
    <workbookView xWindow="1560" yWindow="15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<sst xmlns="http://schemas.openxmlformats.org/spreadsheetml/2006/main" count="37" uniqueCount="37">
  <si>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</si>
  <si>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</si>
  <si>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</si>
  <si>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</si>
  <si>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</si>
  <si>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</si>
  <si>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</si>
  <si>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</si>
  <si>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</si>
  <si>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</si>
  <si>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</si>
  <si>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</si>
  <si>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</si>
  <si>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</si>
  <si>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</si>
  <si>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</si>
  <si>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</si>
  <si>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</si>
  <si>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</si>
  <si>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</si>
  <si>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</si>
  <si>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</si>
  <si>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</si>
  <si>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0320</t>
    <phoneticPr fontId="1"/>
  </si>
  <si>
    <t>本覚寺</t>
    <rPh sb="0" eb="3">
      <t>ホンカクジ</t>
    </rPh>
    <phoneticPr fontId="1"/>
  </si>
  <si>
    <t>ほんかくじ</t>
    <phoneticPr fontId="1"/>
  </si>
  <si>
    <t>752-0973</t>
    <phoneticPr fontId="1"/>
  </si>
  <si>
    <t>山口県下関市長府中之町</t>
    <rPh sb="0" eb="11">
      <t>752-0973</t>
    </rPh>
    <phoneticPr fontId="1"/>
  </si>
  <si>
    <t>6-8</t>
    <phoneticPr fontId="1"/>
  </si>
  <si>
    <t>ニッサンリーフ</t>
    <phoneticPr fontId="1"/>
  </si>
  <si>
    <t>下関330さ8974</t>
    <rPh sb="0" eb="2">
      <t>シモノセキ</t>
    </rPh>
    <phoneticPr fontId="1"/>
  </si>
  <si>
    <t>ZE1-003232</t>
    <phoneticPr fontId="1"/>
  </si>
  <si>
    <t>18653</t>
    <phoneticPr fontId="1"/>
  </si>
  <si>
    <t>0015</t>
    <phoneticPr fontId="1"/>
  </si>
  <si>
    <t>H29.10</t>
    <phoneticPr fontId="1"/>
  </si>
  <si>
    <t>備考：濱口様</t>
    <rPh sb="0" eb="2">
      <t>ビコウ</t>
    </rPh>
    <rPh sb="3" eb="5">
      <t>ハマグチ</t>
    </rPh>
    <rPh sb="5" eb="6">
      <t>サマ</t>
    </rPh>
    <phoneticPr fontId="1"/>
  </si>
  <si>
    <t>090-5701-4452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</si>
</sst>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10" sqref="B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36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46324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0320</v>
      </c>
      <c r="B2" t="str">
        <f>IF(顧客名簿!B3="","",顧客名簿!B3)</f>
        <v>本覚寺</v>
      </c>
      <c r="C2" t="str">
        <f>IF(顧客名簿!B4="","",顧客名簿!B4)</f>
        <v>ほんかくじ</v>
      </c>
      <c r="D2" t="str">
        <f>IF(顧客名簿!B5="","",顧客名簿!B5)</f>
        <v>752-0973</v>
      </c>
      <c r="E2" t="str">
        <f>IF(顧客名簿!B6="","",顧客名簿!B6)</f>
        <v>山口県下関市長府中之町</v>
      </c>
      <c r="F2" t="str">
        <f>IF(顧客名簿!B7="","",顧客名簿!B7)</f>
        <v>6-8</v>
      </c>
      <c r="G2" t="str">
        <f>IF(顧客名簿!B8="","",顧客名簿!B8)</f>
        <v>090-5701-4452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ニッサンリーフ</v>
      </c>
      <c r="O2" t="str">
        <f>IF(顧客名簿!D5="","",顧客名簿!D5)</f>
        <v>下関330さ8974</v>
      </c>
      <c r="P2" t="str">
        <f>IF(顧客名簿!D6="","",顧客名簿!D6)</f>
        <v>ZE1-003232</v>
      </c>
      <c r="Q2" t="str">
        <f>IF(顧客名簿!D7="","",顧客名簿!D7)</f>
        <v>18653</v>
      </c>
      <c r="R2" t="str">
        <f>IF(顧客名簿!D8="","",顧客名簿!D8)</f>
        <v>0015</v>
      </c>
      <c r="S2" t="str">
        <f>IF(顧客名簿!D9="","",顧客名簿!D9)</f>
        <v>H29.10</v>
      </c>
      <c r="T2" s="21">
        <f>IF(顧客名簿!D10="","",顧客名簿!D10)</f>
        <v>46324</v>
      </c>
      <c r="U2" s="20" t="str">
        <f>IF(顧客名簿!D11="","",顧客名簿!D11)</f>
        <v>備考：濱口様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2024-11-06T04:56:23Z</dcterms:modified>
</cp:coreProperties>
</file>