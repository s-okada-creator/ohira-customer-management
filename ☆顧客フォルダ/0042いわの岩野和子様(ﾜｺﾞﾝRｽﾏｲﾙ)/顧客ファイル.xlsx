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42いわの岩野和子様(ﾜｺﾞﾝRｽﾏｲﾙ)/"/>
    </mc:Choice>
  </mc:AlternateContent>
  <xr:revisionPtr revIDLastSave="72" documentId="13_ncr:1_{2162476F-CA24-49B5-8D7A-4B7C6B7A7835}" xr6:coauthVersionLast="47" xr6:coauthVersionMax="47" xr10:uidLastSave="{24721235-BA29-40AB-9B56-24098B9B9648}"/>
  <bookViews>
    <workbookView xWindow="10185" yWindow="90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<sst xmlns="http://schemas.openxmlformats.org/spreadsheetml/2006/main" count="39" uniqueCount="39">
  <si>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</si>
  <si>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</si>
  <si>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</si>
  <si>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</si>
  <si>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</si>
  <si>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</si>
  <si>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</si>
  <si>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</si>
  <si>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</si>
  <si>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</si>
  <si>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</si>
  <si>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</si>
  <si>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</si>
  <si>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</si>
  <si>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</si>
  <si>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</si>
  <si>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</si>
  <si>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</si>
  <si>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</si>
  <si>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</si>
  <si>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</si>
  <si>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</si>
  <si>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</si>
  <si>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0042</t>
    <phoneticPr fontId="1"/>
  </si>
  <si>
    <t>岩野　和子</t>
    <rPh sb="0" eb="2">
      <t>イワノ</t>
    </rPh>
    <rPh sb="3" eb="5">
      <t>カズコ</t>
    </rPh>
    <phoneticPr fontId="1"/>
  </si>
  <si>
    <t>いわのかずこ</t>
    <phoneticPr fontId="1"/>
  </si>
  <si>
    <t>083-256-6148</t>
    <phoneticPr fontId="1"/>
  </si>
  <si>
    <t>スズキワゴンRスマイル</t>
    <phoneticPr fontId="1"/>
  </si>
  <si>
    <t>下関580そ8796</t>
    <rPh sb="0" eb="2">
      <t>シモノセキ</t>
    </rPh>
    <phoneticPr fontId="1"/>
  </si>
  <si>
    <t>MX91S-140931</t>
    <phoneticPr fontId="1"/>
  </si>
  <si>
    <t>20119</t>
    <phoneticPr fontId="1"/>
  </si>
  <si>
    <t>0002</t>
    <phoneticPr fontId="1"/>
  </si>
  <si>
    <t>R4.9</t>
    <phoneticPr fontId="1"/>
  </si>
  <si>
    <t>大平英明</t>
    <rPh sb="0" eb="4">
      <t>オオヒラヒデアキ</t>
    </rPh>
    <phoneticPr fontId="1"/>
  </si>
  <si>
    <t>080-3884-7482</t>
    <phoneticPr fontId="1"/>
  </si>
  <si>
    <t>宮内様</t>
    <rPh sb="0" eb="3">
      <t>ミヤウチサマ</t>
    </rPh>
    <phoneticPr fontId="1"/>
  </si>
  <si>
    <t>751-0806</t>
    <phoneticPr fontId="1"/>
  </si>
  <si>
    <t>山口県下関市一の宮町</t>
    <rPh sb="0" eb="10">
      <t>751-0806</t>
    </rPh>
    <phoneticPr fontId="1"/>
  </si>
  <si>
    <t>2丁目4-25-108</t>
    <rPh sb="1" eb="3">
      <t>チョウメ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</si>
</sst>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27</v>
      </c>
    </row>
    <row r="5" spans="1:4" x14ac:dyDescent="0.4">
      <c r="A5" s="12" t="s">
        <v>14</v>
      </c>
      <c r="B5" s="8" t="s">
        <v>36</v>
      </c>
      <c r="C5" s="12" t="s">
        <v>20</v>
      </c>
      <c r="D5" s="18" t="s">
        <v>28</v>
      </c>
    </row>
    <row r="6" spans="1:4" x14ac:dyDescent="0.4">
      <c r="A6" s="12" t="s">
        <v>3</v>
      </c>
      <c r="B6" s="8" t="s">
        <v>37</v>
      </c>
      <c r="C6" s="17" t="s">
        <v>21</v>
      </c>
      <c r="D6" s="3" t="s">
        <v>29</v>
      </c>
    </row>
    <row r="7" spans="1:4" x14ac:dyDescent="0.4">
      <c r="A7" s="12" t="s">
        <v>4</v>
      </c>
      <c r="B7" s="9" t="s">
        <v>38</v>
      </c>
      <c r="C7" s="26" t="s">
        <v>22</v>
      </c>
      <c r="D7" s="22" t="s">
        <v>30</v>
      </c>
    </row>
    <row r="8" spans="1:4" x14ac:dyDescent="0.4">
      <c r="A8" s="12" t="s">
        <v>5</v>
      </c>
      <c r="B8" s="8" t="s">
        <v>34</v>
      </c>
      <c r="C8" s="17" t="s">
        <v>19</v>
      </c>
      <c r="D8" s="23" t="s">
        <v>31</v>
      </c>
    </row>
    <row r="9" spans="1:4" x14ac:dyDescent="0.4">
      <c r="A9" s="12" t="s">
        <v>6</v>
      </c>
      <c r="B9" s="8" t="s">
        <v>26</v>
      </c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>
        <v>46649</v>
      </c>
    </row>
    <row r="11" spans="1:4" x14ac:dyDescent="0.4">
      <c r="A11" s="12" t="s">
        <v>8</v>
      </c>
      <c r="B11" s="10"/>
      <c r="C11" s="12" t="s">
        <v>13</v>
      </c>
      <c r="D11" s="24" t="s">
        <v>35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33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D9" sqref="D9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0042</v>
      </c>
      <c r="B2" t="str">
        <f>IF(顧客名簿!B3="","",顧客名簿!B3)</f>
        <v>岩野　和子</v>
      </c>
      <c r="C2" t="str">
        <f>IF(顧客名簿!B4="","",顧客名簿!B4)</f>
        <v>いわのかずこ</v>
      </c>
      <c r="D2" t="str">
        <f>IF(顧客名簿!B5="","",顧客名簿!B5)</f>
        <v>751-0806</v>
      </c>
      <c r="E2" t="str">
        <f>IF(顧客名簿!B6="","",顧客名簿!B6)</f>
        <v>山口県下関市一の宮町</v>
      </c>
      <c r="F2" t="str">
        <f>IF(顧客名簿!B7="","",顧客名簿!B7)</f>
        <v>2丁目4-25-108</v>
      </c>
      <c r="G2" t="str">
        <f>IF(顧客名簿!B8="","",顧客名簿!B8)</f>
        <v>080-3884-7482</v>
      </c>
      <c r="H2" t="str">
        <f>IF(顧客名簿!B9="","",顧客名簿!B9)</f>
        <v>083-256-6148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スズキワゴンRスマイル</v>
      </c>
      <c r="O2" t="str">
        <f>IF(顧客名簿!D5="","",顧客名簿!D5)</f>
        <v>下関580そ8796</v>
      </c>
      <c r="P2" t="str">
        <f>IF(顧客名簿!D6="","",顧客名簿!D6)</f>
        <v>MX91S-140931</v>
      </c>
      <c r="Q2" t="str">
        <f>IF(顧客名簿!D7="","",顧客名簿!D7)</f>
        <v>20119</v>
      </c>
      <c r="R2" t="str">
        <f>IF(顧客名簿!D8="","",顧客名簿!D8)</f>
        <v>0002</v>
      </c>
      <c r="S2" t="str">
        <f>IF(顧客名簿!D9="","",顧客名簿!D9)</f>
        <v>R4.9</v>
      </c>
      <c r="T2" s="21">
        <f>IF(顧客名簿!D10="","",顧客名簿!D10)</f>
        <v>46649</v>
      </c>
      <c r="U2" s="20" t="str">
        <f>IF(顧客名簿!D11="","",顧客名簿!D11)</f>
        <v>宮内様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2025-08-20T07:41:01Z</dcterms:modified>
</cp:coreProperties>
</file>