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467まつえだ松枝様(ﾀﾝﾄ・高津さん紹介)/"/>
    </mc:Choice>
  </mc:AlternateContent>
  <xr:revisionPtr revIDLastSave="26" documentId="13_ncr:1_{1CB85908-E75D-46F2-8CB1-CB28FE68B0DB}" xr6:coauthVersionLast="47" xr6:coauthVersionMax="47" xr10:uidLastSave="{BDAE82D8-7596-4DE8-B418-4AE09A8D606B}"/>
  <bookViews>
    <workbookView xWindow="10140" yWindow="225" windowWidth="10065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8" i="2" l="1"/>
  <c r="F27" i="2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<sst xmlns="http://schemas.openxmlformats.org/spreadsheetml/2006/main" count="72" uniqueCount="45">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</sst>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72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49" fontId="0" fillId="0" borderId="10" xfId="0" applyNumberFormat="1" applyBorder="1" applyAlignment="1" applyProtection="1">
      <alignment horizontal="left" vertical="center" shrinkToFit="1"/>
      <protection locked="0"/>
    </xf>
    <xf numFmtId="49" fontId="0" fillId="0" borderId="8" xfId="0" applyNumberFormat="1" applyBorder="1" applyAlignment="1" applyProtection="1">
      <alignment horizontal="left" vertical="center" shrinkToFit="1"/>
      <protection locked="0"/>
    </xf>
    <xf numFmtId="56" fontId="0" fillId="0" borderId="10" xfId="0" applyNumberFormat="1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3" fillId="0" borderId="0" xfId="0" applyNumberFormat="1" applyFon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467&#12414;&#12388;&#12360;&#12384;&#26494;&#26525;&#27096;(&#65408;&#65437;&#65412;&#12539;&#39640;&#27941;&#12373;&#12435;&#32057;&#20171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松枝　諒</v>
          </cell>
        </row>
        <row r="4">
          <cell r="D4" t="str">
            <v>ダイハツタント</v>
          </cell>
        </row>
        <row r="5">
          <cell r="D5" t="str">
            <v>下関580ち5780</v>
          </cell>
        </row>
        <row r="6">
          <cell r="B6" t="str">
            <v>山口県下関市彦島福浦町</v>
          </cell>
          <cell r="D6" t="str">
            <v>L375S-0198482</v>
          </cell>
        </row>
        <row r="7">
          <cell r="B7" t="str">
            <v>2丁目4-43</v>
          </cell>
          <cell r="D7" t="str">
            <v>16010</v>
          </cell>
        </row>
        <row r="8">
          <cell r="B8" t="str">
            <v>080-2897-8583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B7" sqref="B7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31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32</v>
      </c>
      <c r="G2" s="37"/>
      <c r="H2" s="37"/>
    </row>
    <row r="3" spans="1:8" ht="25.5" x14ac:dyDescent="0.4">
      <c r="A3" s="7" t="s">
        <v>27</v>
      </c>
      <c r="B3" s="38" t="str">
        <f>[1]顧客名簿!$B$3</f>
        <v>松枝　諒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山口県下関市彦島福浦町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2丁目4-43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080-2897-8583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ダイハツタント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16010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下関580ち5780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L375S-0198482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50" t="s">
        <v>4</v>
      </c>
      <c r="H15" s="51"/>
    </row>
    <row r="16" spans="1:8" x14ac:dyDescent="0.4">
      <c r="A16" s="35"/>
      <c r="B16" s="33"/>
      <c r="C16" s="16"/>
      <c r="D16" s="22"/>
      <c r="E16" s="27"/>
      <c r="F16" s="30">
        <f t="shared" ref="F16:F35" si="0">C16*D16*E16</f>
        <v>0</v>
      </c>
      <c r="G16" s="44">
        <f t="shared" ref="G16:G35" si="1">D16*C16</f>
        <v>0</v>
      </c>
      <c r="H16" s="45"/>
    </row>
    <row r="17" spans="1:8" x14ac:dyDescent="0.4">
      <c r="A17" s="16"/>
      <c r="B17" s="33"/>
      <c r="C17" s="16"/>
      <c r="D17" s="22"/>
      <c r="E17" s="27"/>
      <c r="F17" s="30">
        <f t="shared" si="0"/>
        <v>0</v>
      </c>
      <c r="G17" s="44">
        <f t="shared" si="1"/>
        <v>0</v>
      </c>
      <c r="H17" s="45"/>
    </row>
    <row r="18" spans="1:8" x14ac:dyDescent="0.4">
      <c r="A18" s="16"/>
      <c r="B18" s="33"/>
      <c r="C18" s="16"/>
      <c r="D18" s="22"/>
      <c r="E18" s="27"/>
      <c r="F18" s="30">
        <f t="shared" si="0"/>
        <v>0</v>
      </c>
      <c r="G18" s="44">
        <f t="shared" si="1"/>
        <v>0</v>
      </c>
      <c r="H18" s="45"/>
    </row>
    <row r="19" spans="1:8" x14ac:dyDescent="0.4">
      <c r="A19" s="16"/>
      <c r="B19" s="33"/>
      <c r="C19" s="16"/>
      <c r="D19" s="22"/>
      <c r="E19" s="27"/>
      <c r="F19" s="30">
        <f t="shared" si="0"/>
        <v>0</v>
      </c>
      <c r="G19" s="44">
        <f t="shared" si="1"/>
        <v>0</v>
      </c>
      <c r="H19" s="45"/>
    </row>
    <row r="20" spans="1:8" x14ac:dyDescent="0.4">
      <c r="A20" s="16"/>
      <c r="B20" s="33"/>
      <c r="C20" s="16"/>
      <c r="D20" s="22"/>
      <c r="E20" s="27"/>
      <c r="F20" s="30">
        <f t="shared" si="0"/>
        <v>0</v>
      </c>
      <c r="G20" s="44">
        <f t="shared" si="1"/>
        <v>0</v>
      </c>
      <c r="H20" s="45"/>
    </row>
    <row r="21" spans="1:8" x14ac:dyDescent="0.4">
      <c r="A21" s="16"/>
      <c r="B21" s="33"/>
      <c r="C21" s="16"/>
      <c r="D21" s="22"/>
      <c r="E21" s="27"/>
      <c r="F21" s="30">
        <f t="shared" si="0"/>
        <v>0</v>
      </c>
      <c r="G21" s="44">
        <f t="shared" si="1"/>
        <v>0</v>
      </c>
      <c r="H21" s="45"/>
    </row>
    <row r="22" spans="1:8" x14ac:dyDescent="0.4">
      <c r="A22" s="16"/>
      <c r="B22" s="33"/>
      <c r="C22" s="16"/>
      <c r="D22" s="22"/>
      <c r="E22" s="27"/>
      <c r="F22" s="30">
        <f t="shared" si="0"/>
        <v>0</v>
      </c>
      <c r="G22" s="44">
        <f t="shared" si="1"/>
        <v>0</v>
      </c>
      <c r="H22" s="45"/>
    </row>
    <row r="23" spans="1:8" x14ac:dyDescent="0.4">
      <c r="A23" s="16"/>
      <c r="B23" s="33"/>
      <c r="C23" s="16"/>
      <c r="D23" s="22"/>
      <c r="E23" s="27"/>
      <c r="F23" s="30">
        <f t="shared" si="0"/>
        <v>0</v>
      </c>
      <c r="G23" s="44">
        <f t="shared" si="1"/>
        <v>0</v>
      </c>
      <c r="H23" s="45"/>
    </row>
    <row r="24" spans="1:8" x14ac:dyDescent="0.4">
      <c r="A24" s="16"/>
      <c r="B24" s="33"/>
      <c r="C24" s="16"/>
      <c r="D24" s="22"/>
      <c r="E24" s="27"/>
      <c r="F24" s="30">
        <f t="shared" si="0"/>
        <v>0</v>
      </c>
      <c r="G24" s="44">
        <f t="shared" si="1"/>
        <v>0</v>
      </c>
      <c r="H24" s="45"/>
    </row>
    <row r="25" spans="1:8" x14ac:dyDescent="0.4">
      <c r="A25" s="16"/>
      <c r="B25" s="33"/>
      <c r="C25" s="16"/>
      <c r="D25" s="22"/>
      <c r="E25" s="27"/>
      <c r="F25" s="30">
        <f t="shared" si="0"/>
        <v>0</v>
      </c>
      <c r="G25" s="44">
        <f t="shared" si="1"/>
        <v>0</v>
      </c>
      <c r="H25" s="45"/>
    </row>
    <row r="26" spans="1:8" x14ac:dyDescent="0.4">
      <c r="A26" s="16"/>
      <c r="B26" s="33"/>
      <c r="C26" s="16"/>
      <c r="D26" s="22"/>
      <c r="E26" s="27"/>
      <c r="F26" s="30">
        <f t="shared" si="0"/>
        <v>0</v>
      </c>
      <c r="G26" s="44">
        <f t="shared" si="1"/>
        <v>0</v>
      </c>
      <c r="H26" s="45"/>
    </row>
    <row r="27" spans="1:8" x14ac:dyDescent="0.4">
      <c r="A27" s="16"/>
      <c r="B27" s="33"/>
      <c r="C27" s="16"/>
      <c r="D27" s="22"/>
      <c r="E27" s="27"/>
      <c r="F27" s="30">
        <f t="shared" si="0"/>
        <v>0</v>
      </c>
      <c r="G27" s="44">
        <f t="shared" si="1"/>
        <v>0</v>
      </c>
      <c r="H27" s="45"/>
    </row>
    <row r="28" spans="1:8" x14ac:dyDescent="0.4">
      <c r="A28" s="16"/>
      <c r="B28" s="33"/>
      <c r="C28" s="16"/>
      <c r="D28" s="22"/>
      <c r="E28" s="27"/>
      <c r="F28" s="30">
        <f t="shared" si="0"/>
        <v>0</v>
      </c>
      <c r="G28" s="44">
        <f t="shared" si="1"/>
        <v>0</v>
      </c>
      <c r="H28" s="45"/>
    </row>
    <row r="29" spans="1:8" x14ac:dyDescent="0.4">
      <c r="A29" s="16"/>
      <c r="B29" s="33"/>
      <c r="C29" s="16"/>
      <c r="D29" s="22"/>
      <c r="E29" s="27"/>
      <c r="F29" s="30">
        <f t="shared" si="0"/>
        <v>0</v>
      </c>
      <c r="G29" s="44">
        <f t="shared" si="1"/>
        <v>0</v>
      </c>
      <c r="H29" s="45"/>
    </row>
    <row r="30" spans="1:8" x14ac:dyDescent="0.4">
      <c r="A30" s="16"/>
      <c r="B30" s="33"/>
      <c r="C30" s="16"/>
      <c r="D30" s="22"/>
      <c r="E30" s="27"/>
      <c r="F30" s="30">
        <f t="shared" si="0"/>
        <v>0</v>
      </c>
      <c r="G30" s="44">
        <f t="shared" si="1"/>
        <v>0</v>
      </c>
      <c r="H30" s="45"/>
    </row>
    <row r="31" spans="1:8" x14ac:dyDescent="0.4">
      <c r="A31" s="16"/>
      <c r="B31" s="33"/>
      <c r="C31" s="16"/>
      <c r="D31" s="22"/>
      <c r="E31" s="27"/>
      <c r="F31" s="30">
        <f t="shared" si="0"/>
        <v>0</v>
      </c>
      <c r="G31" s="44">
        <f t="shared" si="1"/>
        <v>0</v>
      </c>
      <c r="H31" s="45"/>
    </row>
    <row r="32" spans="1:8" x14ac:dyDescent="0.4">
      <c r="A32" s="16"/>
      <c r="B32" s="33"/>
      <c r="C32" s="16"/>
      <c r="D32" s="22"/>
      <c r="E32" s="27"/>
      <c r="F32" s="30">
        <f t="shared" si="0"/>
        <v>0</v>
      </c>
      <c r="G32" s="44">
        <f t="shared" si="1"/>
        <v>0</v>
      </c>
      <c r="H32" s="45"/>
    </row>
    <row r="33" spans="1:8" x14ac:dyDescent="0.4">
      <c r="A33" s="16"/>
      <c r="B33" s="33"/>
      <c r="C33" s="16"/>
      <c r="D33" s="22"/>
      <c r="E33" s="27"/>
      <c r="F33" s="30">
        <f t="shared" si="0"/>
        <v>0</v>
      </c>
      <c r="G33" s="44">
        <f t="shared" si="1"/>
        <v>0</v>
      </c>
      <c r="H33" s="45"/>
    </row>
    <row r="34" spans="1:8" x14ac:dyDescent="0.4">
      <c r="A34" s="16"/>
      <c r="B34" s="33"/>
      <c r="C34" s="16"/>
      <c r="D34" s="22"/>
      <c r="E34" s="27"/>
      <c r="F34" s="30">
        <f t="shared" si="0"/>
        <v>0</v>
      </c>
      <c r="G34" s="44">
        <f t="shared" si="1"/>
        <v>0</v>
      </c>
      <c r="H34" s="45"/>
    </row>
    <row r="35" spans="1:8" ht="19.5" thickBot="1" x14ac:dyDescent="0.45">
      <c r="A35" s="17"/>
      <c r="B35" s="34"/>
      <c r="C35" s="18"/>
      <c r="D35" s="18"/>
      <c r="E35" s="28"/>
      <c r="F35" s="32">
        <f t="shared" si="0"/>
        <v>0</v>
      </c>
      <c r="G35" s="60">
        <f t="shared" si="1"/>
        <v>0</v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54">
        <f>SUM(G16:H35)</f>
        <v>0</v>
      </c>
      <c r="H36" s="5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58">
        <f>SUM(G36:H37)</f>
        <v>0</v>
      </c>
      <c r="H38" s="59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6" t="s">
        <v>28</v>
      </c>
      <c r="B1" s="36"/>
      <c r="C1" s="36"/>
      <c r="D1" s="36"/>
      <c r="E1" s="36"/>
      <c r="F1" s="36"/>
      <c r="G1" s="36"/>
      <c r="H1" s="36"/>
    </row>
    <row r="2" spans="1:8" x14ac:dyDescent="0.4">
      <c r="F2" s="8" t="s">
        <v>33</v>
      </c>
      <c r="G2" s="70">
        <f>見積書!G2</f>
        <v>0</v>
      </c>
      <c r="H2" s="70"/>
    </row>
    <row r="3" spans="1:8" ht="25.5" x14ac:dyDescent="0.4">
      <c r="A3" s="7" t="s">
        <v>27</v>
      </c>
      <c r="B3" s="38" t="str">
        <f>[1]顧客名簿!$B$3</f>
        <v>松枝　諒</v>
      </c>
      <c r="C3" s="38"/>
      <c r="D3" s="38"/>
      <c r="F3" s="36" t="s">
        <v>26</v>
      </c>
      <c r="G3" s="36"/>
      <c r="H3" s="36"/>
    </row>
    <row r="4" spans="1:8" ht="18.75" customHeight="1" x14ac:dyDescent="0.4">
      <c r="A4" s="39" t="s">
        <v>25</v>
      </c>
      <c r="B4" s="41" t="str">
        <f>[1]顧客名簿!$B$6</f>
        <v>山口県下関市彦島福浦町</v>
      </c>
      <c r="C4" s="41"/>
      <c r="D4" s="41"/>
      <c r="F4" t="s">
        <v>24</v>
      </c>
    </row>
    <row r="5" spans="1:8" ht="18.75" customHeight="1" x14ac:dyDescent="0.4">
      <c r="A5" s="40"/>
      <c r="B5" s="42" t="str">
        <f>[1]顧客名簿!$B$7</f>
        <v>2丁目4-43</v>
      </c>
      <c r="C5" s="43"/>
      <c r="D5" s="43"/>
      <c r="F5" t="s">
        <v>23</v>
      </c>
    </row>
    <row r="6" spans="1:8" ht="19.5" x14ac:dyDescent="0.4">
      <c r="A6" s="6" t="s">
        <v>22</v>
      </c>
      <c r="B6" s="5" t="str">
        <f>[1]顧客名簿!$B$8</f>
        <v>080-2897-8583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6" t="str">
        <f>[1]顧客名簿!$D$4</f>
        <v>ダイハツタント</v>
      </c>
      <c r="C8" s="46"/>
      <c r="D8" s="46"/>
      <c r="F8" s="4" t="s">
        <v>18</v>
      </c>
      <c r="G8" s="4"/>
      <c r="H8" s="4"/>
    </row>
    <row r="9" spans="1:8" ht="18.75" customHeight="1" x14ac:dyDescent="0.4">
      <c r="A9" s="3" t="s">
        <v>17</v>
      </c>
      <c r="B9" s="47" t="str">
        <f>[1]顧客名簿!$D$7</f>
        <v>16010</v>
      </c>
      <c r="C9" s="46"/>
      <c r="D9" s="46"/>
      <c r="F9" s="48" t="s">
        <v>16</v>
      </c>
      <c r="G9" s="48"/>
      <c r="H9" s="48"/>
    </row>
    <row r="10" spans="1:8" ht="18.75" customHeight="1" x14ac:dyDescent="0.4">
      <c r="A10" s="3" t="s">
        <v>15</v>
      </c>
      <c r="B10" s="46" t="str">
        <f>[1]顧客名簿!$D$5</f>
        <v>下関580ち5780</v>
      </c>
      <c r="C10" s="46"/>
      <c r="D10" s="46"/>
      <c r="F10" s="48" t="s">
        <v>14</v>
      </c>
      <c r="G10" s="48"/>
      <c r="H10" s="48"/>
    </row>
    <row r="11" spans="1:8" ht="18.75" customHeight="1" x14ac:dyDescent="0.4">
      <c r="A11" s="3" t="s">
        <v>13</v>
      </c>
      <c r="B11" s="46" t="str">
        <f>[1]顧客名簿!$D$6</f>
        <v>L375S-0198482</v>
      </c>
      <c r="C11" s="46"/>
      <c r="D11" s="46"/>
      <c r="F11" s="48" t="s">
        <v>12</v>
      </c>
      <c r="G11" s="48"/>
      <c r="H11" s="48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9">
        <f>G38</f>
        <v>0</v>
      </c>
      <c r="C13" s="49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71" t="s">
        <v>4</v>
      </c>
      <c r="H15" s="51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4" t="str">
        <f>IF(D16="","",D16*C16)</f>
        <v/>
      </c>
      <c r="H16" s="45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8" t="str">
        <f t="shared" ref="G17:G35" si="1">IF(D17="","",D17*C17)</f>
        <v/>
      </c>
      <c r="H17" s="45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8" t="str">
        <f t="shared" si="1"/>
        <v/>
      </c>
      <c r="H18" s="45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8" t="str">
        <f t="shared" si="1"/>
        <v/>
      </c>
      <c r="H19" s="45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8" t="str">
        <f t="shared" si="1"/>
        <v/>
      </c>
      <c r="H20" s="45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8" t="str">
        <f t="shared" si="1"/>
        <v/>
      </c>
      <c r="H21" s="45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8" t="str">
        <f t="shared" si="1"/>
        <v/>
      </c>
      <c r="H22" s="45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8" t="str">
        <f t="shared" si="1"/>
        <v/>
      </c>
      <c r="H23" s="45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8" t="str">
        <f t="shared" si="1"/>
        <v/>
      </c>
      <c r="H24" s="45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8" t="str">
        <f t="shared" si="1"/>
        <v/>
      </c>
      <c r="H25" s="45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8" t="str">
        <f t="shared" si="1"/>
        <v/>
      </c>
      <c r="H26" s="45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8" t="str">
        <f t="shared" si="1"/>
        <v/>
      </c>
      <c r="H27" s="45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8" t="str">
        <f t="shared" si="1"/>
        <v/>
      </c>
      <c r="H28" s="45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8" t="str">
        <f t="shared" si="1"/>
        <v/>
      </c>
      <c r="H29" s="45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8" t="str">
        <f t="shared" si="1"/>
        <v/>
      </c>
      <c r="H30" s="45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8" t="str">
        <f t="shared" si="1"/>
        <v/>
      </c>
      <c r="H31" s="45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8" t="str">
        <f t="shared" si="1"/>
        <v/>
      </c>
      <c r="H32" s="45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8" t="str">
        <f t="shared" si="1"/>
        <v/>
      </c>
      <c r="H33" s="45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8" t="str">
        <f t="shared" si="1"/>
        <v/>
      </c>
      <c r="H34" s="45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9" t="str">
        <f t="shared" si="1"/>
        <v/>
      </c>
      <c r="H35" s="61"/>
    </row>
    <row r="36" spans="1:8" ht="19.5" thickBot="1" x14ac:dyDescent="0.45">
      <c r="A36" s="19" t="s">
        <v>3</v>
      </c>
      <c r="E36" s="62" t="s">
        <v>2</v>
      </c>
      <c r="F36" s="63"/>
      <c r="G36" s="64">
        <f>SUM(G16:H35)</f>
        <v>0</v>
      </c>
      <c r="H36" s="65"/>
    </row>
    <row r="37" spans="1:8" ht="19.5" thickBot="1" x14ac:dyDescent="0.45">
      <c r="B37" s="19"/>
      <c r="C37" s="19"/>
      <c r="E37" s="52" t="s">
        <v>1</v>
      </c>
      <c r="F37" s="53"/>
      <c r="G37" s="54">
        <f>SUM(F16:F35)</f>
        <v>0</v>
      </c>
      <c r="H37" s="55"/>
    </row>
    <row r="38" spans="1:8" ht="19.5" thickBot="1" x14ac:dyDescent="0.45">
      <c r="E38" s="56" t="s">
        <v>0</v>
      </c>
      <c r="F38" s="57"/>
      <c r="G38" s="66">
        <f>SUM(G36:H37)</f>
        <v>0</v>
      </c>
      <c r="H38" s="67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松枝　諒</v>
      </c>
      <c r="C2" s="21" t="str">
        <f>請求書!B4</f>
        <v>山口県下関市彦島福浦町</v>
      </c>
      <c r="D2" s="21" t="str">
        <f>請求書!B5</f>
        <v>2丁目4-43</v>
      </c>
      <c r="E2" s="21" t="str">
        <f>請求書!B6</f>
        <v>080-2897-8583</v>
      </c>
      <c r="F2" s="21" t="str">
        <f>請求書!B8</f>
        <v>ダイハツタント</v>
      </c>
      <c r="G2" s="21" t="str">
        <f>請求書!B9</f>
        <v>16010</v>
      </c>
      <c r="H2" s="21" t="str">
        <f>請求書!B10</f>
        <v>下関580ち5780</v>
      </c>
      <c r="I2" s="20" t="str">
        <f>請求書!B11</f>
        <v>L375S-0198482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2025-07-22T04:36:32Z</dcterms:modified>
</cp:coreProperties>
</file>