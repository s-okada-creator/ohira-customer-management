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5おおはら大原さやか(金子養魚場)様(ｷｬﾗﾊﾞﾝ)/"/>
    </mc:Choice>
  </mc:AlternateContent>
  <xr:revisionPtr revIDLastSave="69" documentId="13_ncr:1_{2162476F-CA24-49B5-8D7A-4B7C6B7A7835}" xr6:coauthVersionLast="47" xr6:coauthVersionMax="47" xr10:uidLastSave="{A7222CA0-DAC3-4B83-9582-22AF953388C1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<sst xmlns="http://schemas.openxmlformats.org/spreadsheetml/2006/main" count="38" uniqueCount="38">
  <si>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</si>
  <si>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</si>
  <si>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</si>
  <si>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</si>
  <si>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</si>
  <si>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</si>
  <si>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</si>
  <si>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</si>
  <si>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</si>
  <si>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</si>
  <si>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</si>
  <si>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</si>
  <si>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</si>
  <si>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</si>
  <si>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</si>
  <si>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</si>
  <si>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</si>
  <si>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</si>
  <si>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</si>
  <si>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</si>
  <si>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</si>
  <si>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</si>
  <si>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</si>
  <si>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0115</t>
    <phoneticPr fontId="1"/>
  </si>
  <si>
    <t>大原　さやか</t>
    <rPh sb="0" eb="2">
      <t>オオハラ</t>
    </rPh>
    <phoneticPr fontId="1"/>
  </si>
  <si>
    <t>おおはらさやか</t>
    <phoneticPr fontId="1"/>
  </si>
  <si>
    <t>ニッサンキャラバン</t>
    <phoneticPr fontId="1"/>
  </si>
  <si>
    <t>北九州430た5151</t>
    <rPh sb="0" eb="3">
      <t>キタキュウシュウ</t>
    </rPh>
    <phoneticPr fontId="1"/>
  </si>
  <si>
    <t>VWME25-076973</t>
    <phoneticPr fontId="1"/>
  </si>
  <si>
    <t>12578</t>
    <phoneticPr fontId="1"/>
  </si>
  <si>
    <t>0213</t>
    <phoneticPr fontId="1"/>
  </si>
  <si>
    <t>H18.7</t>
    <phoneticPr fontId="1"/>
  </si>
  <si>
    <t>750-0425</t>
    <phoneticPr fontId="1"/>
  </si>
  <si>
    <t>山口県下関市豊田町庭田</t>
    <rPh sb="0" eb="11">
      <t>750-0425</t>
    </rPh>
    <phoneticPr fontId="1"/>
  </si>
  <si>
    <t>409-5</t>
    <phoneticPr fontId="1"/>
  </si>
  <si>
    <t>070-4285-9555</t>
    <phoneticPr fontId="1"/>
  </si>
  <si>
    <t>083-766-2702</t>
    <phoneticPr fontId="1"/>
  </si>
  <si>
    <t>金子養魚所</t>
    <rPh sb="0" eb="2">
      <t>カネコ</t>
    </rPh>
    <rPh sb="2" eb="3">
      <t>ヨウ</t>
    </rPh>
    <rPh sb="3" eb="4">
      <t>サカナ</t>
    </rPh>
    <rPh sb="4" eb="5">
      <t>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</si>
</sst>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1" sqref="B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27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29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30</v>
      </c>
    </row>
    <row r="9" spans="1:4" x14ac:dyDescent="0.4">
      <c r="A9" s="12" t="s">
        <v>6</v>
      </c>
      <c r="B9" s="8" t="s">
        <v>36</v>
      </c>
      <c r="C9" s="13" t="s">
        <v>16</v>
      </c>
      <c r="D9" s="6" t="s">
        <v>31</v>
      </c>
    </row>
    <row r="10" spans="1:4" x14ac:dyDescent="0.4">
      <c r="A10" s="15" t="s">
        <v>7</v>
      </c>
      <c r="B10" s="10" t="s">
        <v>37</v>
      </c>
      <c r="C10" s="12" t="s">
        <v>12</v>
      </c>
      <c r="D10" s="5">
        <v>45805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0115</v>
      </c>
      <c r="B2" t="str">
        <f>IF(顧客名簿!B3="","",顧客名簿!B3)</f>
        <v>大原　さやか</v>
      </c>
      <c r="C2" t="str">
        <f>IF(顧客名簿!B4="","",顧客名簿!B4)</f>
        <v>おおはらさやか</v>
      </c>
      <c r="D2" t="str">
        <f>IF(顧客名簿!B5="","",顧客名簿!B5)</f>
        <v>750-0425</v>
      </c>
      <c r="E2" t="str">
        <f>IF(顧客名簿!B6="","",顧客名簿!B6)</f>
        <v>山口県下関市豊田町庭田</v>
      </c>
      <c r="F2" t="str">
        <f>IF(顧客名簿!B7="","",顧客名簿!B7)</f>
        <v>409-5</v>
      </c>
      <c r="G2" t="str">
        <f>IF(顧客名簿!B8="","",顧客名簿!B8)</f>
        <v>070-4285-9555</v>
      </c>
      <c r="H2" t="str">
        <f>IF(顧客名簿!B9="","",顧客名簿!B9)</f>
        <v>083-766-2702</v>
      </c>
      <c r="I2" t="str">
        <f>IF(顧客名簿!B10="","",顧客名簿!B10)</f>
        <v>金子養魚所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ニッサンキャラバン</v>
      </c>
      <c r="O2" t="str">
        <f>IF(顧客名簿!D5="","",顧客名簿!D5)</f>
        <v>北九州430た5151</v>
      </c>
      <c r="P2" t="str">
        <f>IF(顧客名簿!D6="","",顧客名簿!D6)</f>
        <v>VWME25-076973</v>
      </c>
      <c r="Q2" t="str">
        <f>IF(顧客名簿!D7="","",顧客名簿!D7)</f>
        <v>12578</v>
      </c>
      <c r="R2" t="str">
        <f>IF(顧客名簿!D8="","",顧客名簿!D8)</f>
        <v>0213</v>
      </c>
      <c r="S2" t="str">
        <f>IF(顧客名簿!D9="","",顧客名簿!D9)</f>
        <v>H18.7</v>
      </c>
      <c r="T2" s="21">
        <f>IF(顧客名簿!D10="","",顧客名簿!D10)</f>
        <v>45805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2024-11-07T04:26:51Z</dcterms:modified>
</cp:coreProperties>
</file>