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98おかの岡野様(村田文菜様分ｽｽﾞｷｴﾌﾞﾘ)/"/>
    </mc:Choice>
  </mc:AlternateContent>
  <xr:revisionPtr revIDLastSave="58" documentId="13_ncr:1_{2162476F-CA24-49B5-8D7A-4B7C6B7A7835}" xr6:coauthVersionLast="47" xr6:coauthVersionMax="47" xr10:uidLastSave="{560758AD-3FB8-42A1-8578-FDD9DFCF7F6C}"/>
  <bookViews>
    <workbookView xWindow="60" yWindow="12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<sst xmlns="http://schemas.openxmlformats.org/spreadsheetml/2006/main" count="40" uniqueCount="40">
  <si>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</si>
  <si>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</si>
  <si>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</si>
  <si>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</si>
  <si>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</si>
  <si>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</si>
  <si>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</si>
  <si>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</si>
  <si>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</si>
  <si>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</si>
  <si>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</si>
  <si>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</si>
  <si>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</si>
  <si>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</si>
  <si>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</si>
  <si>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</si>
  <si>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</si>
  <si>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</si>
  <si>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</si>
  <si>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</si>
  <si>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</si>
  <si>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</si>
  <si>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</si>
  <si>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0098</t>
    <phoneticPr fontId="1"/>
  </si>
  <si>
    <t>759-6314</t>
    <phoneticPr fontId="1"/>
  </si>
  <si>
    <t>山口県下関市豊浦町厚母郷</t>
    <rPh sb="0" eb="12">
      <t>759-6314</t>
    </rPh>
    <phoneticPr fontId="1"/>
  </si>
  <si>
    <t>97-14</t>
    <phoneticPr fontId="1"/>
  </si>
  <si>
    <t>070-4432-1598</t>
    <phoneticPr fontId="1"/>
  </si>
  <si>
    <t>Bar青い麦</t>
    <rPh sb="3" eb="4">
      <t>アオ</t>
    </rPh>
    <rPh sb="5" eb="6">
      <t>ムギ</t>
    </rPh>
    <phoneticPr fontId="1"/>
  </si>
  <si>
    <t>083-235-0504</t>
    <phoneticPr fontId="1"/>
  </si>
  <si>
    <t>スズキエブリ</t>
    <phoneticPr fontId="1"/>
  </si>
  <si>
    <t>下関480う1958</t>
    <rPh sb="0" eb="2">
      <t>シモノセキ</t>
    </rPh>
    <phoneticPr fontId="1"/>
  </si>
  <si>
    <t>DA17V-226083</t>
    <phoneticPr fontId="1"/>
  </si>
  <si>
    <t>18014</t>
    <phoneticPr fontId="1"/>
  </si>
  <si>
    <t>0004</t>
    <phoneticPr fontId="1"/>
  </si>
  <si>
    <t>H29.1</t>
    <phoneticPr fontId="1"/>
  </si>
  <si>
    <t>中山様</t>
    <rPh sb="0" eb="2">
      <t>ナカヤマ</t>
    </rPh>
    <rPh sb="2" eb="3">
      <t>サマ</t>
    </rPh>
    <phoneticPr fontId="1"/>
  </si>
  <si>
    <t>大平英明</t>
    <rPh sb="0" eb="4">
      <t>オオヒラヒデアキ</t>
    </rPh>
    <phoneticPr fontId="1"/>
  </si>
  <si>
    <t>岡野　文菜</t>
    <rPh sb="0" eb="2">
      <t>オカノ</t>
    </rPh>
    <rPh sb="3" eb="5">
      <t>フミナ</t>
    </rPh>
    <phoneticPr fontId="1"/>
  </si>
  <si>
    <t>おかのふみな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</si>
</sst>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38</v>
      </c>
      <c r="C3" s="12" t="s">
        <v>11</v>
      </c>
      <c r="D3" s="3" t="s">
        <v>29</v>
      </c>
    </row>
    <row r="4" spans="1:4" x14ac:dyDescent="0.4">
      <c r="A4" s="12" t="s">
        <v>2</v>
      </c>
      <c r="B4" s="8" t="s">
        <v>39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24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27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 t="s">
        <v>28</v>
      </c>
      <c r="C10" s="12" t="s">
        <v>12</v>
      </c>
      <c r="D10" s="5">
        <v>45724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0098</v>
      </c>
      <c r="B2" t="str">
        <f>IF(顧客名簿!B3="","",顧客名簿!B3)</f>
        <v>岡野　文菜</v>
      </c>
      <c r="C2" t="str">
        <f>IF(顧客名簿!B4="","",顧客名簿!B4)</f>
        <v>おかのふみな</v>
      </c>
      <c r="D2" t="str">
        <f>IF(顧客名簿!B5="","",顧客名簿!B5)</f>
        <v>759-6314</v>
      </c>
      <c r="E2" t="str">
        <f>IF(顧客名簿!B6="","",顧客名簿!B6)</f>
        <v>山口県下関市豊浦町厚母郷</v>
      </c>
      <c r="F2" t="str">
        <f>IF(顧客名簿!B7="","",顧客名簿!B7)</f>
        <v>97-14</v>
      </c>
      <c r="G2" t="str">
        <f>IF(顧客名簿!B8="","",顧客名簿!B8)</f>
        <v>070-4432-1598</v>
      </c>
      <c r="H2" t="str">
        <f>IF(顧客名簿!B9="","",顧客名簿!B9)</f>
        <v/>
      </c>
      <c r="I2" t="str">
        <f>IF(顧客名簿!B10="","",顧客名簿!B10)</f>
        <v>Bar青い麦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>083-235-0504</v>
      </c>
      <c r="N2" t="str">
        <f>IF(顧客名簿!D4="","",顧客名簿!D4)</f>
        <v>スズキエブリ</v>
      </c>
      <c r="O2" t="str">
        <f>IF(顧客名簿!D5="","",顧客名簿!D5)</f>
        <v>下関480う1958</v>
      </c>
      <c r="P2" t="str">
        <f>IF(顧客名簿!D6="","",顧客名簿!D6)</f>
        <v>DA17V-226083</v>
      </c>
      <c r="Q2" t="str">
        <f>IF(顧客名簿!D7="","",顧客名簿!D7)</f>
        <v>18014</v>
      </c>
      <c r="R2" t="str">
        <f>IF(顧客名簿!D8="","",顧客名簿!D8)</f>
        <v>0004</v>
      </c>
      <c r="S2" t="str">
        <f>IF(顧客名簿!D9="","",顧客名簿!D9)</f>
        <v>H29.1</v>
      </c>
      <c r="T2" s="21">
        <f>IF(顧客名簿!D10="","",顧客名簿!D10)</f>
        <v>45724</v>
      </c>
      <c r="U2" s="20" t="str">
        <f>IF(顧客名簿!D11="","",顧客名簿!D11)</f>
        <v>中山様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2024-11-07T03:35:58Z</dcterms:modified>
</cp:coreProperties>
</file>