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8いぬずか犬塚淑子様(ｷｬｽﾄ)/"/>
    </mc:Choice>
  </mc:AlternateContent>
  <xr:revisionPtr revIDLastSave="26" documentId="13_ncr:1_{68D8FAAB-9449-4688-A93A-2F5E93382682}" xr6:coauthVersionLast="47" xr6:coauthVersionMax="47" xr10:uidLastSave="{6730CB57-F04B-4CE8-936B-D76996E2F202}"/>
  <bookViews>
    <workbookView xWindow="1560" yWindow="795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<sst xmlns="http://schemas.openxmlformats.org/spreadsheetml/2006/main" count="37" uniqueCount="37">
  <si>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</si>
  <si>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</si>
  <si>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</si>
  <si>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</si>
  <si>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</si>
  <si>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</si>
  <si>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</si>
  <si>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</si>
  <si>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</si>
  <si>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</si>
  <si>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</si>
  <si>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</si>
  <si>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</si>
  <si>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</si>
  <si>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</si>
  <si>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</si>
  <si>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</si>
  <si>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</si>
  <si>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</si>
  <si>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</si>
  <si>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</si>
  <si>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</si>
  <si>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</si>
  <si>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0028</t>
    <phoneticPr fontId="1"/>
  </si>
  <si>
    <t>犬塚　淑子</t>
    <rPh sb="0" eb="2">
      <t>イヌズカ</t>
    </rPh>
    <rPh sb="4" eb="5">
      <t>コ</t>
    </rPh>
    <phoneticPr fontId="1"/>
  </si>
  <si>
    <t>いぬずかじゅんこ</t>
    <phoneticPr fontId="1"/>
  </si>
  <si>
    <t>752-0947</t>
    <phoneticPr fontId="1"/>
  </si>
  <si>
    <t>山口県下関市長府満珠町</t>
    <rPh sb="0" eb="11">
      <t>752-0947</t>
    </rPh>
    <phoneticPr fontId="1"/>
  </si>
  <si>
    <t>40-11</t>
    <phoneticPr fontId="1"/>
  </si>
  <si>
    <t>090-9462-2981</t>
    <phoneticPr fontId="1"/>
  </si>
  <si>
    <t>ダイハツキャスト</t>
    <phoneticPr fontId="1"/>
  </si>
  <si>
    <t>下関580さ1916</t>
    <rPh sb="0" eb="2">
      <t>シモノセキ</t>
    </rPh>
    <phoneticPr fontId="1"/>
  </si>
  <si>
    <t>18164</t>
    <phoneticPr fontId="1"/>
  </si>
  <si>
    <t>0008</t>
    <phoneticPr fontId="1"/>
  </si>
  <si>
    <t>H28.10</t>
    <phoneticPr fontId="1"/>
  </si>
  <si>
    <t>大平英明</t>
    <rPh sb="0" eb="2">
      <t>オオヒラ</t>
    </rPh>
    <rPh sb="2" eb="4">
      <t>ヒデアキ</t>
    </rPh>
    <phoneticPr fontId="1"/>
  </si>
  <si>
    <t>LA250S-0072467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</si>
</sst>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30</v>
      </c>
    </row>
    <row r="5" spans="1:4" x14ac:dyDescent="0.4">
      <c r="A5" s="13" t="s">
        <v>14</v>
      </c>
      <c r="B5" s="8" t="s">
        <v>26</v>
      </c>
      <c r="C5" s="13" t="s">
        <v>20</v>
      </c>
      <c r="D5" s="20" t="s">
        <v>31</v>
      </c>
    </row>
    <row r="6" spans="1:4" x14ac:dyDescent="0.4">
      <c r="A6" s="13" t="s">
        <v>3</v>
      </c>
      <c r="B6" s="8" t="s">
        <v>27</v>
      </c>
      <c r="C6" s="18" t="s">
        <v>22</v>
      </c>
      <c r="D6" s="3" t="s">
        <v>36</v>
      </c>
    </row>
    <row r="7" spans="1:4" x14ac:dyDescent="0.4">
      <c r="A7" s="13" t="s">
        <v>4</v>
      </c>
      <c r="B7" s="9" t="s">
        <v>28</v>
      </c>
      <c r="C7" s="18" t="s">
        <v>21</v>
      </c>
      <c r="D7" s="22" t="s">
        <v>32</v>
      </c>
    </row>
    <row r="8" spans="1:4" x14ac:dyDescent="0.4">
      <c r="A8" s="13" t="s">
        <v>5</v>
      </c>
      <c r="B8" s="8" t="s">
        <v>29</v>
      </c>
      <c r="C8" s="18" t="s">
        <v>19</v>
      </c>
      <c r="D8" s="21" t="s">
        <v>33</v>
      </c>
    </row>
    <row r="9" spans="1:4" x14ac:dyDescent="0.4">
      <c r="A9" s="13" t="s">
        <v>6</v>
      </c>
      <c r="B9" s="8"/>
      <c r="C9" s="14" t="s">
        <v>16</v>
      </c>
      <c r="D9" s="6" t="s">
        <v>34</v>
      </c>
    </row>
    <row r="10" spans="1:4" x14ac:dyDescent="0.4">
      <c r="A10" s="16" t="s">
        <v>7</v>
      </c>
      <c r="B10" s="10"/>
      <c r="C10" s="13" t="s">
        <v>12</v>
      </c>
      <c r="D10" s="5">
        <v>46666</v>
      </c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 t="s">
        <v>35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0028</v>
      </c>
      <c r="B2" t="str">
        <f>IF(顧客名簿!B3="","",顧客名簿!B3)</f>
        <v>犬塚　淑子</v>
      </c>
      <c r="C2" t="str">
        <f>IF(顧客名簿!B4="","",顧客名簿!B4)</f>
        <v>いぬずかじゅんこ</v>
      </c>
      <c r="D2" t="str">
        <f>IF(顧客名簿!B5="","",顧客名簿!B5)</f>
        <v>752-0947</v>
      </c>
      <c r="E2" t="str">
        <f>IF(顧客名簿!B6="","",顧客名簿!B6)</f>
        <v>山口県下関市長府満珠町</v>
      </c>
      <c r="F2" t="str">
        <f>IF(顧客名簿!B7="","",顧客名簿!B7)</f>
        <v>40-11</v>
      </c>
      <c r="G2" t="str">
        <f>IF(顧客名簿!B8="","",顧客名簿!B8)</f>
        <v>090-9462-2981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ダイハツキャスト</v>
      </c>
      <c r="O2" t="str">
        <f>IF(顧客名簿!D5="","",顧客名簿!D5)</f>
        <v>下関580さ1916</v>
      </c>
      <c r="P2" t="str">
        <f>IF(顧客名簿!D6="","",顧客名簿!D6)</f>
        <v>LA250S-0072467</v>
      </c>
      <c r="Q2" t="str">
        <f>IF(顧客名簿!D7="","",顧客名簿!D7)</f>
        <v>18164</v>
      </c>
      <c r="R2" t="str">
        <f>IF(顧客名簿!D8="","",顧客名簿!D8)</f>
        <v>0008</v>
      </c>
      <c r="S2" t="str">
        <f>IF(顧客名簿!D9="","",顧客名簿!D9)</f>
        <v>H28.10</v>
      </c>
      <c r="T2" s="25">
        <f>IF(顧客名簿!D10="","",顧客名簿!D10)</f>
        <v>46666</v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2025-09-05T04:14:33Z</dcterms:modified>
</cp:coreProperties>
</file>