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09あおい様(ｵｰﾗ)/"/>
    </mc:Choice>
  </mc:AlternateContent>
  <xr:revisionPtr revIDLastSave="5" documentId="13_ncr:1_{7FE50761-0D0F-43EF-B605-1C4D052FB2EA}" xr6:coauthVersionLast="47" xr6:coauthVersionMax="47" xr10:uidLastSave="{F95325C5-4588-4A62-AC3E-D3BDEE34F618}"/>
  <bookViews>
    <workbookView xWindow="10035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<sst xmlns="http://schemas.openxmlformats.org/spreadsheetml/2006/main" count="37" uniqueCount="37">
  <si>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</si>
  <si>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</si>
  <si>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</si>
  <si>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</si>
  <si>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</si>
  <si>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</si>
  <si>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</si>
  <si>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</si>
  <si>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</si>
  <si>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</si>
  <si>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</si>
  <si>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</si>
  <si>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</si>
  <si>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</si>
  <si>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</si>
  <si>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</si>
  <si>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</si>
  <si>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</si>
  <si>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</si>
  <si>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</si>
  <si>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</si>
  <si>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0009</t>
    <phoneticPr fontId="1"/>
  </si>
  <si>
    <t>751-0829</t>
    <phoneticPr fontId="1"/>
  </si>
  <si>
    <t>山口県下関市幡生宮の下町</t>
    <rPh sb="0" eb="12">
      <t>751-0829</t>
    </rPh>
    <phoneticPr fontId="1"/>
  </si>
  <si>
    <t>9-16-201</t>
    <phoneticPr fontId="1"/>
  </si>
  <si>
    <t>090-7378-4717</t>
    <phoneticPr fontId="1"/>
  </si>
  <si>
    <t>ニッサン　オーラ</t>
    <phoneticPr fontId="1"/>
  </si>
  <si>
    <t>下関340み11</t>
    <rPh sb="0" eb="2">
      <t>シモノセキ</t>
    </rPh>
    <phoneticPr fontId="1"/>
  </si>
  <si>
    <t>FE13-354674</t>
    <phoneticPr fontId="1"/>
  </si>
  <si>
    <t>20057</t>
    <phoneticPr fontId="1"/>
  </si>
  <si>
    <t>0002</t>
    <phoneticPr fontId="1"/>
  </si>
  <si>
    <t>R6.3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</si>
  <si>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</si>
  <si>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</si>
  <si>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</si>
  <si>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岩村　亜緒依</t>
    <rPh sb="0" eb="2">
      <t>イワムラ</t>
    </rPh>
    <rPh sb="3" eb="4">
      <t>ア</t>
    </rPh>
    <rPh sb="4" eb="5">
      <t>オ</t>
    </rPh>
    <rPh sb="5" eb="6">
      <t>イ</t>
    </rPh>
    <phoneticPr fontId="1"/>
  </si>
  <si>
    <t>いわむらあおい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</si>
</sst>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35</v>
      </c>
      <c r="C3" s="13" t="s">
        <v>11</v>
      </c>
      <c r="D3" s="3"/>
    </row>
    <row r="4" spans="1:4" x14ac:dyDescent="0.4">
      <c r="A4" s="13" t="s">
        <v>2</v>
      </c>
      <c r="B4" s="8" t="s">
        <v>36</v>
      </c>
      <c r="C4" s="13" t="s">
        <v>18</v>
      </c>
      <c r="D4" s="3" t="s">
        <v>26</v>
      </c>
    </row>
    <row r="5" spans="1:4" x14ac:dyDescent="0.4">
      <c r="A5" s="13" t="s">
        <v>14</v>
      </c>
      <c r="B5" s="8" t="s">
        <v>22</v>
      </c>
      <c r="C5" s="13" t="s">
        <v>20</v>
      </c>
      <c r="D5" s="19" t="s">
        <v>27</v>
      </c>
    </row>
    <row r="6" spans="1:4" x14ac:dyDescent="0.4">
      <c r="A6" s="13" t="s">
        <v>3</v>
      </c>
      <c r="B6" s="8" t="s">
        <v>23</v>
      </c>
      <c r="C6" s="18" t="s">
        <v>34</v>
      </c>
      <c r="D6" s="3" t="s">
        <v>28</v>
      </c>
    </row>
    <row r="7" spans="1:4" x14ac:dyDescent="0.4">
      <c r="A7" s="13" t="s">
        <v>4</v>
      </c>
      <c r="B7" s="9" t="s">
        <v>24</v>
      </c>
      <c r="C7" s="18" t="s">
        <v>33</v>
      </c>
      <c r="D7" s="23" t="s">
        <v>29</v>
      </c>
    </row>
    <row r="8" spans="1:4" x14ac:dyDescent="0.4">
      <c r="A8" s="13" t="s">
        <v>5</v>
      </c>
      <c r="B8" s="8" t="s">
        <v>25</v>
      </c>
      <c r="C8" s="18" t="s">
        <v>19</v>
      </c>
      <c r="D8" s="24" t="s">
        <v>30</v>
      </c>
    </row>
    <row r="9" spans="1:4" x14ac:dyDescent="0.4">
      <c r="A9" s="13" t="s">
        <v>6</v>
      </c>
      <c r="B9" s="8"/>
      <c r="C9" s="14" t="s">
        <v>16</v>
      </c>
      <c r="D9" s="6" t="s">
        <v>31</v>
      </c>
    </row>
    <row r="10" spans="1:4" x14ac:dyDescent="0.4">
      <c r="A10" s="16" t="s">
        <v>7</v>
      </c>
      <c r="B10" s="10"/>
      <c r="C10" s="13" t="s">
        <v>12</v>
      </c>
      <c r="D10" s="5">
        <v>46472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32</v>
      </c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0009</v>
      </c>
      <c r="B2" t="str">
        <f>IF(顧客名簿!B3="","",顧客名簿!B3)</f>
        <v>岩村　亜緒依</v>
      </c>
      <c r="C2" t="str">
        <f>IF(顧客名簿!B4="","",顧客名簿!B4)</f>
        <v>いわむらあおい</v>
      </c>
      <c r="D2" t="str">
        <f>IF(顧客名簿!B5="","",顧客名簿!B5)</f>
        <v>751-0829</v>
      </c>
      <c r="E2" t="str">
        <f>IF(顧客名簿!B6="","",顧客名簿!B6)</f>
        <v>山口県下関市幡生宮の下町</v>
      </c>
      <c r="F2" t="str">
        <f>IF(顧客名簿!B7="","",顧客名簿!B7)</f>
        <v>9-16-201</v>
      </c>
      <c r="G2" t="str">
        <f>IF(顧客名簿!B8="","",顧客名簿!B8)</f>
        <v>090-7378-4717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　オーラ</v>
      </c>
      <c r="O2" t="str">
        <f>IF(顧客名簿!D5="","",顧客名簿!D5)</f>
        <v>下関340み11</v>
      </c>
      <c r="P2" t="str">
        <f>IF(顧客名簿!D6="","",顧客名簿!D6)</f>
        <v>FE13-354674</v>
      </c>
      <c r="Q2" t="str">
        <f>IF(顧客名簿!D7="","",顧客名簿!D7)</f>
        <v>20057</v>
      </c>
      <c r="R2" t="str">
        <f>IF(顧客名簿!D8="","",顧客名簿!D8)</f>
        <v>0002</v>
      </c>
      <c r="S2" t="str">
        <f>IF(顧客名簿!D9="","",顧客名簿!D9)</f>
        <v>R6.3</v>
      </c>
      <c r="T2" s="22">
        <f>IF(顧客名簿!D10="","",顧客名簿!D10)</f>
        <v>46472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2024-11-05T02:58:53Z</dcterms:modified>
</cp:coreProperties>
</file>