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057いわた岩田稔様(EK)/"/>
    </mc:Choice>
  </mc:AlternateContent>
  <xr:revisionPtr revIDLastSave="1" documentId="13_ncr:1_{C9BAB396-4A40-4311-BFE6-42211F2499CB}" xr6:coauthVersionLast="47" xr6:coauthVersionMax="47" xr10:uidLastSave="{FE76030E-7058-4BE2-8532-F84536512CC6}"/>
  <bookViews>
    <workbookView xWindow="10800" yWindow="300" windowWidth="9690" windowHeight="10500" xr2:uid="{AA24C584-71D2-43EF-86F2-A55270F3381B}"/>
  </bookViews>
  <sheets>
    <sheet name="見積書" sheetId="4" r:id="rId1"/>
    <sheet name="請求書" sheetId="2" r:id="rId2"/>
    <sheet name="売上集計用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2" l="1"/>
  <c r="G24" i="2"/>
  <c r="G30" i="2"/>
  <c r="G31" i="2"/>
  <c r="G32" i="2"/>
  <c r="D16" i="2"/>
  <c r="F17" i="2"/>
  <c r="F18" i="2"/>
  <c r="F22" i="2"/>
  <c r="F24" i="2"/>
  <c r="F25" i="2"/>
  <c r="F30" i="2"/>
  <c r="F32" i="2"/>
  <c r="F33" i="2"/>
  <c r="F34" i="2"/>
  <c r="E34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5" i="2"/>
  <c r="E16" i="2"/>
  <c r="D17" i="2"/>
  <c r="G17" i="2" s="1"/>
  <c r="D18" i="2"/>
  <c r="G18" i="2" s="1"/>
  <c r="D19" i="2"/>
  <c r="F19" i="2" s="1"/>
  <c r="D20" i="2"/>
  <c r="F20" i="2" s="1"/>
  <c r="D21" i="2"/>
  <c r="F21" i="2" s="1"/>
  <c r="D22" i="2"/>
  <c r="G22" i="2" s="1"/>
  <c r="D23" i="2"/>
  <c r="F23" i="2" s="1"/>
  <c r="D24" i="2"/>
  <c r="D25" i="2"/>
  <c r="G25" i="2" s="1"/>
  <c r="D26" i="2"/>
  <c r="D27" i="2"/>
  <c r="D28" i="2"/>
  <c r="F28" i="2" s="1"/>
  <c r="D29" i="2"/>
  <c r="F29" i="2" s="1"/>
  <c r="D30" i="2"/>
  <c r="D31" i="2"/>
  <c r="F31" i="2" s="1"/>
  <c r="D32" i="2"/>
  <c r="D33" i="2"/>
  <c r="G33" i="2" s="1"/>
  <c r="D34" i="2"/>
  <c r="G34" i="2" s="1"/>
  <c r="D35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16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17" i="2"/>
  <c r="A16" i="2"/>
  <c r="F35" i="4"/>
  <c r="G2" i="2"/>
  <c r="G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B11" i="4"/>
  <c r="B10" i="4"/>
  <c r="B9" i="4"/>
  <c r="B8" i="4"/>
  <c r="B6" i="4"/>
  <c r="B5" i="4"/>
  <c r="B4" i="4"/>
  <c r="B3" i="4"/>
  <c r="F27" i="2" l="1"/>
  <c r="F35" i="2"/>
  <c r="G26" i="2"/>
  <c r="F26" i="2"/>
  <c r="G16" i="2"/>
  <c r="F16" i="2"/>
  <c r="G29" i="2"/>
  <c r="G21" i="2"/>
  <c r="G28" i="2"/>
  <c r="G20" i="2"/>
  <c r="G35" i="2"/>
  <c r="G27" i="2"/>
  <c r="G19" i="2"/>
  <c r="G36" i="4"/>
  <c r="G37" i="4"/>
  <c r="A2" i="3"/>
  <c r="G38" i="4" l="1"/>
  <c r="B13" i="4" s="1"/>
  <c r="B3" i="2"/>
  <c r="B2" i="3" s="1"/>
  <c r="B4" i="2"/>
  <c r="C2" i="3" s="1"/>
  <c r="B5" i="2"/>
  <c r="D2" i="3" s="1"/>
  <c r="B6" i="2"/>
  <c r="E2" i="3" s="1"/>
  <c r="B8" i="2"/>
  <c r="F2" i="3" s="1"/>
  <c r="B9" i="2"/>
  <c r="G2" i="3" s="1"/>
  <c r="B10" i="2"/>
  <c r="H2" i="3" s="1"/>
  <c r="B11" i="2"/>
  <c r="I2" i="3" s="1"/>
  <c r="G37" i="2" l="1"/>
  <c r="K2" i="3" s="1"/>
  <c r="G36" i="2"/>
  <c r="G38" i="2" l="1"/>
  <c r="J2" i="3"/>
  <c r="B13" i="2" l="1"/>
  <c r="L2" i="3"/>
</calcChain>
</file>

<file path=xl/sharedStrings.xml><?xml version="1.0" encoding="utf-8"?>
<sst xmlns="http://schemas.openxmlformats.org/spreadsheetml/2006/main" count="72" uniqueCount="45">
  <si>
    <t>合計</t>
    <rPh sb="0" eb="2">
      <t>ゴウケイ</t>
    </rPh>
    <phoneticPr fontId="2"/>
  </si>
  <si>
    <t>消費税(10％)</t>
    <rPh sb="0" eb="3">
      <t>ショウヒゼイ</t>
    </rPh>
    <phoneticPr fontId="2"/>
  </si>
  <si>
    <t>商品代金</t>
    <rPh sb="0" eb="4">
      <t>ショウヒンダイキン</t>
    </rPh>
    <phoneticPr fontId="2"/>
  </si>
  <si>
    <t>※ｵｰﾀﾞｰ商品は返品できない場合があります。</t>
    <rPh sb="6" eb="8">
      <t>ショウヒン</t>
    </rPh>
    <rPh sb="9" eb="11">
      <t>ヘンピン</t>
    </rPh>
    <rPh sb="15" eb="17">
      <t>バアイ</t>
    </rPh>
    <phoneticPr fontId="2"/>
  </si>
  <si>
    <t>金額(税抜)</t>
    <rPh sb="0" eb="2">
      <t>キンガク</t>
    </rPh>
    <rPh sb="3" eb="5">
      <t>ゼイヌキ</t>
    </rPh>
    <phoneticPr fontId="2"/>
  </si>
  <si>
    <t>税額</t>
    <rPh sb="0" eb="2">
      <t>ゼイガク</t>
    </rPh>
    <phoneticPr fontId="2"/>
  </si>
  <si>
    <t>消費税率</t>
    <rPh sb="0" eb="4">
      <t>ショウヒゼイリツ</t>
    </rPh>
    <phoneticPr fontId="2"/>
  </si>
  <si>
    <t>単価(税抜）</t>
    <rPh sb="0" eb="2">
      <t>タンカ</t>
    </rPh>
    <rPh sb="3" eb="5">
      <t>ゼイヌ</t>
    </rPh>
    <phoneticPr fontId="2"/>
  </si>
  <si>
    <t>数量</t>
    <rPh sb="0" eb="2">
      <t>スウリョウ</t>
    </rPh>
    <phoneticPr fontId="2"/>
  </si>
  <si>
    <t>適用</t>
    <rPh sb="0" eb="2">
      <t>テキヨウ</t>
    </rPh>
    <phoneticPr fontId="2"/>
  </si>
  <si>
    <t>商品名</t>
    <rPh sb="0" eb="3">
      <t>ショウヒンメイ</t>
    </rPh>
    <phoneticPr fontId="2"/>
  </si>
  <si>
    <t>ご請求金額</t>
    <rPh sb="1" eb="3">
      <t>セイキュウ</t>
    </rPh>
    <rPh sb="3" eb="5">
      <t>キンガク</t>
    </rPh>
    <phoneticPr fontId="2"/>
  </si>
  <si>
    <t>大平自動車商会 ｵｵﾋﾗ　ﾋﾃﾞｱｷ</t>
  </si>
  <si>
    <t>車台番号</t>
    <rPh sb="0" eb="2">
      <t>シャダイ</t>
    </rPh>
    <rPh sb="2" eb="4">
      <t>バンゴウ</t>
    </rPh>
    <phoneticPr fontId="2"/>
  </si>
  <si>
    <t>一の宮支店　普通　0341746</t>
    <phoneticPr fontId="2"/>
  </si>
  <si>
    <t>ナンバー</t>
    <phoneticPr fontId="2"/>
  </si>
  <si>
    <t>振込口座　西中国信用金庫</t>
    <rPh sb="0" eb="2">
      <t>フリコミ</t>
    </rPh>
    <rPh sb="2" eb="4">
      <t>コウザ</t>
    </rPh>
    <rPh sb="5" eb="8">
      <t>ニシチュウゴク</t>
    </rPh>
    <rPh sb="8" eb="12">
      <t>シンヨウキンコ</t>
    </rPh>
    <phoneticPr fontId="2"/>
  </si>
  <si>
    <t>型式・年式</t>
    <rPh sb="0" eb="2">
      <t>カタシキ</t>
    </rPh>
    <rPh sb="3" eb="5">
      <t>ネンシキ</t>
    </rPh>
    <phoneticPr fontId="2"/>
  </si>
  <si>
    <t>登録番号T7-8106-7609-0169</t>
    <rPh sb="0" eb="2">
      <t>トウロク</t>
    </rPh>
    <rPh sb="2" eb="4">
      <t>バンゴウ</t>
    </rPh>
    <phoneticPr fontId="2"/>
  </si>
  <si>
    <t>車名</t>
    <rPh sb="0" eb="2">
      <t>シャメイ</t>
    </rPh>
    <phoneticPr fontId="2"/>
  </si>
  <si>
    <t>FAX083-257-0202</t>
    <phoneticPr fontId="2"/>
  </si>
  <si>
    <t>TEL083-257-0101</t>
    <phoneticPr fontId="2"/>
  </si>
  <si>
    <t>T  E  L</t>
    <phoneticPr fontId="2"/>
  </si>
  <si>
    <t>下関市楠乃町5丁目９番</t>
    <rPh sb="0" eb="3">
      <t>シモノセキシ</t>
    </rPh>
    <rPh sb="3" eb="6">
      <t>クスノチョウ</t>
    </rPh>
    <rPh sb="7" eb="9">
      <t>チョウメ</t>
    </rPh>
    <rPh sb="10" eb="11">
      <t>バン</t>
    </rPh>
    <phoneticPr fontId="2"/>
  </si>
  <si>
    <t>〒751-0804</t>
    <phoneticPr fontId="2"/>
  </si>
  <si>
    <t>ご 住 所</t>
    <rPh sb="2" eb="3">
      <t>ジュウ</t>
    </rPh>
    <rPh sb="4" eb="5">
      <t>ショ</t>
    </rPh>
    <phoneticPr fontId="2"/>
  </si>
  <si>
    <t>大平自動車商会</t>
    <rPh sb="0" eb="2">
      <t>オオヒラ</t>
    </rPh>
    <rPh sb="2" eb="5">
      <t>ジドウシャ</t>
    </rPh>
    <rPh sb="5" eb="7">
      <t>ショウカイ</t>
    </rPh>
    <phoneticPr fontId="2"/>
  </si>
  <si>
    <t>お客様名</t>
    <rPh sb="1" eb="3">
      <t>キャクサマ</t>
    </rPh>
    <rPh sb="3" eb="4">
      <t>メイ</t>
    </rPh>
    <phoneticPr fontId="2"/>
  </si>
  <si>
    <t>御請求書</t>
    <rPh sb="0" eb="4">
      <t>ゴセイキュウショ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</si>
  <si>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</si>
  <si>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</si>
  <si>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御見積書</t>
    <rPh sb="0" eb="3">
      <t>オミツモリ</t>
    </rPh>
    <rPh sb="3" eb="4">
      <t>ショ</t>
    </rPh>
    <phoneticPr fontId="2"/>
  </si>
  <si>
    <t>御見積日</t>
    <rPh sb="0" eb="3">
      <t>オミツモリ</t>
    </rPh>
    <rPh sb="3" eb="4">
      <t>ヒ</t>
    </rPh>
    <phoneticPr fontId="2"/>
  </si>
  <si>
    <t>御請求日</t>
    <rPh sb="0" eb="1">
      <t>ゴ</t>
    </rPh>
    <rPh sb="1" eb="4">
      <t>セイキュウビ</t>
    </rPh>
    <phoneticPr fontId="2"/>
  </si>
  <si>
    <t>御請求日</t>
  </si>
  <si>
    <t>お客様名</t>
  </si>
  <si>
    <t>T  E  L</t>
  </si>
  <si>
    <t>車名</t>
  </si>
  <si>
    <t>型式・年式</t>
  </si>
  <si>
    <t>ナンバー</t>
  </si>
  <si>
    <t>車台番号</t>
  </si>
  <si>
    <t>商品代金</t>
  </si>
  <si>
    <t>消費税(10％)</t>
  </si>
  <si>
    <t>ご請求金額</t>
  </si>
  <si>
    <t>お見積金額</t>
    <rPh sb="1" eb="3">
      <t>ミツモリ</t>
    </rPh>
    <rPh sb="3" eb="5">
      <t>キンガク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</si>
</sst>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&quot;月&quot;d&quot;日&quot;;@"/>
    <numFmt numFmtId="177" formatCode="@&quot;様&quot;"/>
    <numFmt numFmtId="178" formatCode="0_);[Red]\(0\)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9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69">
    <xf numFmtId="0" fontId="0" fillId="0" borderId="0" xfId="0">
      <alignment vertical="center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center" indent="1"/>
    </xf>
    <xf numFmtId="0" fontId="3" fillId="0" borderId="16" xfId="0" applyFont="1" applyBorder="1" applyAlignment="1">
      <alignment horizontal="left" vertical="center" indent="1"/>
    </xf>
    <xf numFmtId="0" fontId="8" fillId="0" borderId="0" xfId="0" applyFont="1">
      <alignment vertical="center"/>
    </xf>
    <xf numFmtId="0" fontId="0" fillId="0" borderId="17" xfId="0" applyBorder="1" applyAlignment="1">
      <alignment horizontal="left" vertical="center"/>
    </xf>
    <xf numFmtId="0" fontId="9" fillId="0" borderId="17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3" fillId="0" borderId="0" xfId="0" applyFont="1">
      <alignment vertical="center"/>
    </xf>
    <xf numFmtId="0" fontId="3" fillId="0" borderId="16" xfId="0" applyFont="1" applyBorder="1" applyAlignment="1">
      <alignment horizontal="center" vertical="center"/>
    </xf>
    <xf numFmtId="38" fontId="3" fillId="0" borderId="1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5" xfId="0" applyFont="1" applyBorder="1">
      <alignment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0" fillId="0" borderId="10" xfId="0" applyBorder="1" applyAlignment="1" applyProtection="1">
      <alignment vertical="center" shrinkToFit="1"/>
      <protection locked="0"/>
    </xf>
    <xf numFmtId="0" fontId="0" fillId="0" borderId="8" xfId="0" applyBorder="1" applyAlignment="1" applyProtection="1">
      <alignment vertical="center" shrinkToFit="1"/>
      <protection locked="0"/>
    </xf>
    <xf numFmtId="0" fontId="0" fillId="0" borderId="19" xfId="0" applyBorder="1" applyAlignment="1" applyProtection="1">
      <alignment vertical="center" shrinkToFit="1"/>
      <protection locked="0"/>
    </xf>
    <xf numFmtId="0" fontId="4" fillId="0" borderId="0" xfId="0" applyFont="1">
      <alignment vertical="center"/>
    </xf>
    <xf numFmtId="178" fontId="0" fillId="0" borderId="16" xfId="0" applyNumberFormat="1" applyBorder="1">
      <alignment vertical="center"/>
    </xf>
    <xf numFmtId="178" fontId="0" fillId="0" borderId="16" xfId="0" applyNumberFormat="1" applyBorder="1" applyAlignment="1">
      <alignment horizontal="left" vertical="center"/>
    </xf>
    <xf numFmtId="38" fontId="0" fillId="0" borderId="10" xfId="1" applyFont="1" applyBorder="1" applyAlignment="1" applyProtection="1">
      <alignment vertical="center" shrinkToFit="1"/>
      <protection locked="0"/>
    </xf>
    <xf numFmtId="38" fontId="0" fillId="0" borderId="16" xfId="1" applyFont="1" applyBorder="1">
      <alignment vertical="center"/>
    </xf>
    <xf numFmtId="38" fontId="0" fillId="0" borderId="8" xfId="1" applyFont="1" applyBorder="1" applyAlignment="1" applyProtection="1">
      <alignment vertical="center" shrinkToFit="1"/>
      <protection locked="0"/>
    </xf>
    <xf numFmtId="38" fontId="0" fillId="0" borderId="19" xfId="1" applyFont="1" applyBorder="1" applyAlignment="1" applyProtection="1">
      <alignment vertical="center" shrinkToFit="1"/>
      <protection locked="0"/>
    </xf>
    <xf numFmtId="0" fontId="6" fillId="2" borderId="12" xfId="0" applyFont="1" applyFill="1" applyBorder="1" applyAlignment="1">
      <alignment horizontal="center" vertical="center"/>
    </xf>
    <xf numFmtId="9" fontId="0" fillId="0" borderId="21" xfId="2" applyFont="1" applyBorder="1" applyAlignment="1" applyProtection="1">
      <alignment vertical="center" shrinkToFit="1"/>
      <protection locked="0"/>
    </xf>
    <xf numFmtId="9" fontId="0" fillId="0" borderId="22" xfId="2" applyFont="1" applyBorder="1" applyAlignment="1" applyProtection="1">
      <alignment vertical="center" shrinkToFit="1"/>
      <protection locked="0"/>
    </xf>
    <xf numFmtId="0" fontId="5" fillId="2" borderId="25" xfId="0" applyFont="1" applyFill="1" applyBorder="1" applyAlignment="1">
      <alignment horizontal="center" vertical="center"/>
    </xf>
    <xf numFmtId="38" fontId="0" fillId="0" borderId="26" xfId="1" applyFont="1" applyBorder="1">
      <alignment vertical="center"/>
    </xf>
    <xf numFmtId="38" fontId="0" fillId="0" borderId="27" xfId="1" applyFont="1" applyBorder="1">
      <alignment vertical="center"/>
    </xf>
    <xf numFmtId="0" fontId="0" fillId="0" borderId="27" xfId="0" applyBorder="1" applyAlignment="1" applyProtection="1">
      <alignment vertical="center" shrinkToFit="1"/>
      <protection locked="0"/>
    </xf>
    <xf numFmtId="0" fontId="10" fillId="0" borderId="0" xfId="0" applyFont="1" applyAlignment="1">
      <alignment horizontal="center" vertical="center"/>
    </xf>
    <xf numFmtId="176" fontId="0" fillId="0" borderId="0" xfId="0" applyNumberFormat="1" applyAlignment="1" applyProtection="1">
      <alignment horizontal="center" vertical="center"/>
      <protection locked="0"/>
    </xf>
    <xf numFmtId="177" fontId="3" fillId="0" borderId="17" xfId="0" applyNumberFormat="1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0" fillId="0" borderId="0" xfId="0" applyAlignment="1">
      <alignment horizontal="left"/>
    </xf>
    <xf numFmtId="49" fontId="0" fillId="0" borderId="17" xfId="0" applyNumberFormat="1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38" fontId="0" fillId="0" borderId="24" xfId="1" applyFont="1" applyBorder="1" applyAlignment="1">
      <alignment horizontal="right" vertical="center"/>
    </xf>
    <xf numFmtId="38" fontId="0" fillId="0" borderId="9" xfId="1" applyFont="1" applyBorder="1" applyAlignment="1">
      <alignment horizontal="right" vertical="center"/>
    </xf>
    <xf numFmtId="0" fontId="0" fillId="0" borderId="16" xfId="0" applyBorder="1" applyAlignment="1">
      <alignment horizontal="left" vertical="center"/>
    </xf>
    <xf numFmtId="49" fontId="0" fillId="0" borderId="16" xfId="0" applyNumberForma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38" fontId="7" fillId="0" borderId="15" xfId="1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8" fontId="3" fillId="0" borderId="4" xfId="1" applyFont="1" applyBorder="1">
      <alignment vertical="center"/>
    </xf>
    <xf numFmtId="38" fontId="3" fillId="0" borderId="3" xfId="1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8" fontId="3" fillId="0" borderId="32" xfId="1" applyFont="1" applyBorder="1">
      <alignment vertical="center"/>
    </xf>
    <xf numFmtId="38" fontId="3" fillId="0" borderId="33" xfId="1" applyFont="1" applyBorder="1">
      <alignment vertical="center"/>
    </xf>
    <xf numFmtId="38" fontId="0" fillId="0" borderId="20" xfId="1" applyFont="1" applyBorder="1" applyAlignment="1">
      <alignment horizontal="right" vertical="center"/>
    </xf>
    <xf numFmtId="38" fontId="0" fillId="0" borderId="7" xfId="1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38" fontId="3" fillId="0" borderId="28" xfId="1" applyFont="1" applyBorder="1">
      <alignment vertical="center"/>
    </xf>
    <xf numFmtId="38" fontId="3" fillId="0" borderId="29" xfId="1" applyFont="1" applyBorder="1">
      <alignment vertical="center"/>
    </xf>
    <xf numFmtId="38" fontId="3" fillId="0" borderId="30" xfId="1" applyFont="1" applyBorder="1">
      <alignment vertical="center"/>
    </xf>
    <xf numFmtId="38" fontId="3" fillId="0" borderId="31" xfId="1" applyFont="1" applyBorder="1">
      <alignment vertical="center"/>
    </xf>
    <xf numFmtId="38" fontId="0" fillId="0" borderId="34" xfId="1" applyFont="1" applyBorder="1" applyAlignment="1">
      <alignment horizontal="right" vertical="center"/>
    </xf>
    <xf numFmtId="38" fontId="0" fillId="0" borderId="35" xfId="1" applyFont="1" applyBorder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fbbccb461eda101/Desktop/&#20250;&#31038;&#29992;/&#9734;&#39015;&#23458;&#12501;&#12457;&#12523;&#12480;/0057&#12356;&#12431;&#12383;&#23721;&#30000;&#31252;&#27096;(EK)/&#39015;&#23458;&#12501;&#12449;&#12452;&#12523;.xlsx" TargetMode="External"/><Relationship Id="rId1" Type="http://schemas.openxmlformats.org/officeDocument/2006/relationships/externalLinkPath" Target="&#39015;&#23458;&#12501;&#12449;&#12452;&#1252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顧客名簿"/>
      <sheetName val="顧客データベース"/>
    </sheetNames>
    <sheetDataSet>
      <sheetData sheetId="0">
        <row r="3">
          <cell r="B3" t="str">
            <v>岩田　稔</v>
          </cell>
        </row>
        <row r="4">
          <cell r="D4" t="str">
            <v>三菱EK</v>
          </cell>
        </row>
        <row r="5">
          <cell r="D5" t="str">
            <v>下関580こ1533</v>
          </cell>
        </row>
        <row r="6">
          <cell r="B6" t="str">
            <v>山口県下関市長府安養寺</v>
          </cell>
          <cell r="D6" t="str">
            <v>H82W-1350882</v>
          </cell>
        </row>
        <row r="7">
          <cell r="B7" t="str">
            <v>１丁目13-27</v>
          </cell>
          <cell r="D7" t="str">
            <v>15409</v>
          </cell>
        </row>
        <row r="8">
          <cell r="B8" t="str">
            <v>080-6315-5625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F956-EC3D-4E78-A83F-46CDD838FB19}">
  <dimension ref="A1:H38"/>
  <sheetViews>
    <sheetView tabSelected="1" workbookViewId="0">
      <selection activeCell="E28" sqref="E28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3" t="s">
        <v>31</v>
      </c>
      <c r="B1" s="33"/>
      <c r="C1" s="33"/>
      <c r="D1" s="33"/>
      <c r="E1" s="33"/>
      <c r="F1" s="33"/>
      <c r="G1" s="33"/>
      <c r="H1" s="33"/>
    </row>
    <row r="2" spans="1:8" x14ac:dyDescent="0.4">
      <c r="F2" s="8" t="s">
        <v>32</v>
      </c>
      <c r="G2" s="34"/>
      <c r="H2" s="34"/>
    </row>
    <row r="3" spans="1:8" ht="25.5" x14ac:dyDescent="0.4">
      <c r="A3" s="7" t="s">
        <v>27</v>
      </c>
      <c r="B3" s="35" t="str">
        <f>[1]顧客名簿!$B$3</f>
        <v>岩田　稔</v>
      </c>
      <c r="C3" s="35"/>
      <c r="D3" s="35"/>
      <c r="F3" s="33" t="s">
        <v>26</v>
      </c>
      <c r="G3" s="33"/>
      <c r="H3" s="33"/>
    </row>
    <row r="4" spans="1:8" ht="18.75" customHeight="1" x14ac:dyDescent="0.4">
      <c r="A4" s="36" t="s">
        <v>25</v>
      </c>
      <c r="B4" s="38" t="str">
        <f>[1]顧客名簿!$B$6</f>
        <v>山口県下関市長府安養寺</v>
      </c>
      <c r="C4" s="38"/>
      <c r="D4" s="38"/>
      <c r="F4" t="s">
        <v>24</v>
      </c>
    </row>
    <row r="5" spans="1:8" ht="18.75" customHeight="1" x14ac:dyDescent="0.4">
      <c r="A5" s="37"/>
      <c r="B5" s="39" t="str">
        <f>[1]顧客名簿!$B$7</f>
        <v>１丁目13-27</v>
      </c>
      <c r="C5" s="40"/>
      <c r="D5" s="40"/>
      <c r="F5" t="s">
        <v>23</v>
      </c>
    </row>
    <row r="6" spans="1:8" ht="19.5" x14ac:dyDescent="0.4">
      <c r="A6" s="6" t="s">
        <v>22</v>
      </c>
      <c r="B6" s="5" t="str">
        <f>[1]顧客名簿!$B$8</f>
        <v>080-6315-5625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3" t="str">
        <f>[1]顧客名簿!$D$4</f>
        <v>三菱EK</v>
      </c>
      <c r="C8" s="43"/>
      <c r="D8" s="43"/>
      <c r="F8" s="4" t="s">
        <v>18</v>
      </c>
      <c r="G8" s="4"/>
      <c r="H8" s="4"/>
    </row>
    <row r="9" spans="1:8" ht="18.75" customHeight="1" x14ac:dyDescent="0.4">
      <c r="A9" s="3" t="s">
        <v>17</v>
      </c>
      <c r="B9" s="44" t="str">
        <f>[1]顧客名簿!$D$7</f>
        <v>15409</v>
      </c>
      <c r="C9" s="43"/>
      <c r="D9" s="43"/>
      <c r="F9" s="45" t="s">
        <v>16</v>
      </c>
      <c r="G9" s="45"/>
      <c r="H9" s="45"/>
    </row>
    <row r="10" spans="1:8" ht="18.75" customHeight="1" x14ac:dyDescent="0.4">
      <c r="A10" s="3" t="s">
        <v>15</v>
      </c>
      <c r="B10" s="43" t="str">
        <f>[1]顧客名簿!$D$5</f>
        <v>下関580こ1533</v>
      </c>
      <c r="C10" s="43"/>
      <c r="D10" s="43"/>
      <c r="F10" s="45" t="s">
        <v>14</v>
      </c>
      <c r="G10" s="45"/>
      <c r="H10" s="45"/>
    </row>
    <row r="11" spans="1:8" ht="18.75" customHeight="1" x14ac:dyDescent="0.4">
      <c r="A11" s="3" t="s">
        <v>13</v>
      </c>
      <c r="B11" s="43" t="str">
        <f>[1]顧客名簿!$D$6</f>
        <v>H82W-1350882</v>
      </c>
      <c r="C11" s="43"/>
      <c r="D11" s="43"/>
      <c r="F11" s="45" t="s">
        <v>12</v>
      </c>
      <c r="G11" s="45"/>
      <c r="H11" s="45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44</v>
      </c>
      <c r="B13" s="46">
        <f>G38</f>
        <v>0</v>
      </c>
      <c r="C13" s="46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15" t="s">
        <v>6</v>
      </c>
      <c r="F15" s="14" t="s">
        <v>5</v>
      </c>
      <c r="G15" s="47" t="s">
        <v>4</v>
      </c>
      <c r="H15" s="48"/>
    </row>
    <row r="16" spans="1:8" x14ac:dyDescent="0.4">
      <c r="A16" s="16"/>
      <c r="B16" s="16"/>
      <c r="C16" s="16"/>
      <c r="D16" s="22"/>
      <c r="E16" s="27"/>
      <c r="F16" s="30">
        <f t="shared" ref="F16:F35" si="0">C16*D16*E16</f>
        <v>0</v>
      </c>
      <c r="G16" s="41">
        <f t="shared" ref="G16:G35" si="1">D16*C16</f>
        <v>0</v>
      </c>
      <c r="H16" s="42"/>
    </row>
    <row r="17" spans="1:8" x14ac:dyDescent="0.4">
      <c r="A17" s="16"/>
      <c r="B17" s="16"/>
      <c r="C17" s="16"/>
      <c r="D17" s="22"/>
      <c r="E17" s="27"/>
      <c r="F17" s="30">
        <f t="shared" si="0"/>
        <v>0</v>
      </c>
      <c r="G17" s="41">
        <f t="shared" si="1"/>
        <v>0</v>
      </c>
      <c r="H17" s="42"/>
    </row>
    <row r="18" spans="1:8" x14ac:dyDescent="0.4">
      <c r="A18" s="16"/>
      <c r="B18" s="16"/>
      <c r="C18" s="16"/>
      <c r="D18" s="22"/>
      <c r="E18" s="27"/>
      <c r="F18" s="30">
        <f t="shared" si="0"/>
        <v>0</v>
      </c>
      <c r="G18" s="41">
        <f t="shared" si="1"/>
        <v>0</v>
      </c>
      <c r="H18" s="42"/>
    </row>
    <row r="19" spans="1:8" x14ac:dyDescent="0.4">
      <c r="A19" s="16"/>
      <c r="B19" s="16"/>
      <c r="C19" s="16"/>
      <c r="D19" s="22"/>
      <c r="E19" s="27"/>
      <c r="F19" s="30">
        <f t="shared" si="0"/>
        <v>0</v>
      </c>
      <c r="G19" s="41">
        <f t="shared" si="1"/>
        <v>0</v>
      </c>
      <c r="H19" s="42"/>
    </row>
    <row r="20" spans="1:8" x14ac:dyDescent="0.4">
      <c r="A20" s="16"/>
      <c r="B20" s="16"/>
      <c r="C20" s="16"/>
      <c r="D20" s="22"/>
      <c r="E20" s="27"/>
      <c r="F20" s="30">
        <f t="shared" si="0"/>
        <v>0</v>
      </c>
      <c r="G20" s="41">
        <f t="shared" si="1"/>
        <v>0</v>
      </c>
      <c r="H20" s="42"/>
    </row>
    <row r="21" spans="1:8" x14ac:dyDescent="0.4">
      <c r="A21" s="16"/>
      <c r="B21" s="16"/>
      <c r="C21" s="16"/>
      <c r="D21" s="22"/>
      <c r="E21" s="27"/>
      <c r="F21" s="30">
        <f t="shared" si="0"/>
        <v>0</v>
      </c>
      <c r="G21" s="41">
        <f t="shared" si="1"/>
        <v>0</v>
      </c>
      <c r="H21" s="42"/>
    </row>
    <row r="22" spans="1:8" x14ac:dyDescent="0.4">
      <c r="A22" s="16"/>
      <c r="B22" s="16"/>
      <c r="C22" s="16"/>
      <c r="D22" s="22"/>
      <c r="E22" s="27"/>
      <c r="F22" s="30">
        <f t="shared" si="0"/>
        <v>0</v>
      </c>
      <c r="G22" s="41">
        <f t="shared" si="1"/>
        <v>0</v>
      </c>
      <c r="H22" s="42"/>
    </row>
    <row r="23" spans="1:8" x14ac:dyDescent="0.4">
      <c r="A23" s="16"/>
      <c r="B23" s="16"/>
      <c r="C23" s="16"/>
      <c r="D23" s="22"/>
      <c r="E23" s="27"/>
      <c r="F23" s="30">
        <f t="shared" si="0"/>
        <v>0</v>
      </c>
      <c r="G23" s="41">
        <f t="shared" si="1"/>
        <v>0</v>
      </c>
      <c r="H23" s="42"/>
    </row>
    <row r="24" spans="1:8" x14ac:dyDescent="0.4">
      <c r="A24" s="16"/>
      <c r="B24" s="16"/>
      <c r="C24" s="16"/>
      <c r="D24" s="22"/>
      <c r="E24" s="27"/>
      <c r="F24" s="30">
        <f t="shared" si="0"/>
        <v>0</v>
      </c>
      <c r="G24" s="41">
        <f t="shared" si="1"/>
        <v>0</v>
      </c>
      <c r="H24" s="42"/>
    </row>
    <row r="25" spans="1:8" x14ac:dyDescent="0.4">
      <c r="A25" s="16"/>
      <c r="B25" s="16"/>
      <c r="C25" s="16"/>
      <c r="D25" s="22"/>
      <c r="E25" s="27"/>
      <c r="F25" s="30">
        <f t="shared" si="0"/>
        <v>0</v>
      </c>
      <c r="G25" s="41">
        <f t="shared" si="1"/>
        <v>0</v>
      </c>
      <c r="H25" s="42"/>
    </row>
    <row r="26" spans="1:8" x14ac:dyDescent="0.4">
      <c r="A26" s="16"/>
      <c r="B26" s="16"/>
      <c r="C26" s="16"/>
      <c r="D26" s="22"/>
      <c r="E26" s="27"/>
      <c r="F26" s="30">
        <f t="shared" si="0"/>
        <v>0</v>
      </c>
      <c r="G26" s="41">
        <f t="shared" si="1"/>
        <v>0</v>
      </c>
      <c r="H26" s="42"/>
    </row>
    <row r="27" spans="1:8" x14ac:dyDescent="0.4">
      <c r="A27" s="16"/>
      <c r="B27" s="16"/>
      <c r="C27" s="16"/>
      <c r="D27" s="22"/>
      <c r="E27" s="27"/>
      <c r="F27" s="30">
        <f t="shared" si="0"/>
        <v>0</v>
      </c>
      <c r="G27" s="41">
        <f t="shared" si="1"/>
        <v>0</v>
      </c>
      <c r="H27" s="42"/>
    </row>
    <row r="28" spans="1:8" x14ac:dyDescent="0.4">
      <c r="A28" s="16"/>
      <c r="B28" s="16"/>
      <c r="C28" s="16"/>
      <c r="D28" s="22"/>
      <c r="E28" s="27"/>
      <c r="F28" s="30">
        <f t="shared" si="0"/>
        <v>0</v>
      </c>
      <c r="G28" s="41">
        <f t="shared" si="1"/>
        <v>0</v>
      </c>
      <c r="H28" s="42"/>
    </row>
    <row r="29" spans="1:8" x14ac:dyDescent="0.4">
      <c r="A29" s="16"/>
      <c r="B29" s="16"/>
      <c r="C29" s="16"/>
      <c r="D29" s="22"/>
      <c r="E29" s="27"/>
      <c r="F29" s="30">
        <f t="shared" si="0"/>
        <v>0</v>
      </c>
      <c r="G29" s="41">
        <f t="shared" si="1"/>
        <v>0</v>
      </c>
      <c r="H29" s="42"/>
    </row>
    <row r="30" spans="1:8" x14ac:dyDescent="0.4">
      <c r="A30" s="16"/>
      <c r="B30" s="16"/>
      <c r="C30" s="16"/>
      <c r="D30" s="22"/>
      <c r="E30" s="27"/>
      <c r="F30" s="30">
        <f t="shared" si="0"/>
        <v>0</v>
      </c>
      <c r="G30" s="41">
        <f t="shared" si="1"/>
        <v>0</v>
      </c>
      <c r="H30" s="42"/>
    </row>
    <row r="31" spans="1:8" x14ac:dyDescent="0.4">
      <c r="A31" s="16"/>
      <c r="B31" s="16"/>
      <c r="C31" s="16"/>
      <c r="D31" s="22"/>
      <c r="E31" s="27"/>
      <c r="F31" s="30">
        <f t="shared" si="0"/>
        <v>0</v>
      </c>
      <c r="G31" s="41">
        <f t="shared" si="1"/>
        <v>0</v>
      </c>
      <c r="H31" s="42"/>
    </row>
    <row r="32" spans="1:8" x14ac:dyDescent="0.4">
      <c r="A32" s="16"/>
      <c r="B32" s="16"/>
      <c r="C32" s="16"/>
      <c r="D32" s="22"/>
      <c r="E32" s="27"/>
      <c r="F32" s="30">
        <f t="shared" si="0"/>
        <v>0</v>
      </c>
      <c r="G32" s="41">
        <f t="shared" si="1"/>
        <v>0</v>
      </c>
      <c r="H32" s="42"/>
    </row>
    <row r="33" spans="1:8" x14ac:dyDescent="0.4">
      <c r="A33" s="16"/>
      <c r="B33" s="16"/>
      <c r="C33" s="16"/>
      <c r="D33" s="22"/>
      <c r="E33" s="27"/>
      <c r="F33" s="30">
        <f t="shared" si="0"/>
        <v>0</v>
      </c>
      <c r="G33" s="41">
        <f t="shared" si="1"/>
        <v>0</v>
      </c>
      <c r="H33" s="42"/>
    </row>
    <row r="34" spans="1:8" x14ac:dyDescent="0.4">
      <c r="A34" s="16"/>
      <c r="B34" s="16"/>
      <c r="C34" s="16"/>
      <c r="D34" s="22"/>
      <c r="E34" s="27"/>
      <c r="F34" s="30">
        <f t="shared" si="0"/>
        <v>0</v>
      </c>
      <c r="G34" s="41">
        <f t="shared" si="1"/>
        <v>0</v>
      </c>
      <c r="H34" s="42"/>
    </row>
    <row r="35" spans="1:8" ht="19.5" thickBot="1" x14ac:dyDescent="0.45">
      <c r="A35" s="17"/>
      <c r="B35" s="17"/>
      <c r="C35" s="18"/>
      <c r="D35" s="18"/>
      <c r="E35" s="28"/>
      <c r="F35" s="32">
        <f t="shared" si="0"/>
        <v>0</v>
      </c>
      <c r="G35" s="57">
        <f t="shared" si="1"/>
        <v>0</v>
      </c>
      <c r="H35" s="58"/>
    </row>
    <row r="36" spans="1:8" ht="19.5" thickBot="1" x14ac:dyDescent="0.45">
      <c r="A36" s="19" t="s">
        <v>3</v>
      </c>
      <c r="E36" s="59" t="s">
        <v>2</v>
      </c>
      <c r="F36" s="60"/>
      <c r="G36" s="51">
        <f>SUM(G16:H35)</f>
        <v>0</v>
      </c>
      <c r="H36" s="52"/>
    </row>
    <row r="37" spans="1:8" ht="19.5" thickBot="1" x14ac:dyDescent="0.45">
      <c r="B37" s="19"/>
      <c r="C37" s="19"/>
      <c r="E37" s="49" t="s">
        <v>1</v>
      </c>
      <c r="F37" s="50"/>
      <c r="G37" s="51">
        <f>SUM(F16:F35)</f>
        <v>0</v>
      </c>
      <c r="H37" s="52"/>
    </row>
    <row r="38" spans="1:8" ht="19.5" thickBot="1" x14ac:dyDescent="0.45">
      <c r="E38" s="53" t="s">
        <v>0</v>
      </c>
      <c r="F38" s="54"/>
      <c r="G38" s="55">
        <f>SUM(G36:H37)</f>
        <v>0</v>
      </c>
      <c r="H38" s="56"/>
    </row>
  </sheetData>
  <mergeCells count="42">
    <mergeCell ref="E37:F37"/>
    <mergeCell ref="G37:H37"/>
    <mergeCell ref="E38:F38"/>
    <mergeCell ref="G38:H38"/>
    <mergeCell ref="G32:H32"/>
    <mergeCell ref="G33:H33"/>
    <mergeCell ref="G34:H34"/>
    <mergeCell ref="G35:H35"/>
    <mergeCell ref="E36:F36"/>
    <mergeCell ref="G36:H36"/>
    <mergeCell ref="G31:H31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19:H19"/>
    <mergeCell ref="B8:D8"/>
    <mergeCell ref="B9:D9"/>
    <mergeCell ref="F9:H9"/>
    <mergeCell ref="B10:D10"/>
    <mergeCell ref="F10:H10"/>
    <mergeCell ref="B11:D11"/>
    <mergeCell ref="F11:H11"/>
    <mergeCell ref="B13:C13"/>
    <mergeCell ref="G15:H15"/>
    <mergeCell ref="G16:H16"/>
    <mergeCell ref="G17:H17"/>
    <mergeCell ref="G18:H18"/>
    <mergeCell ref="A1:H1"/>
    <mergeCell ref="G2:H2"/>
    <mergeCell ref="B3:D3"/>
    <mergeCell ref="F3:H3"/>
    <mergeCell ref="A4:A5"/>
    <mergeCell ref="B4:D4"/>
    <mergeCell ref="B5:D5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ED2B-113D-4135-B86C-4019C7687BA6}">
  <dimension ref="A1:H38"/>
  <sheetViews>
    <sheetView workbookViewId="0">
      <selection activeCell="D12" sqref="D12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3" t="s">
        <v>28</v>
      </c>
      <c r="B1" s="33"/>
      <c r="C1" s="33"/>
      <c r="D1" s="33"/>
      <c r="E1" s="33"/>
      <c r="F1" s="33"/>
      <c r="G1" s="33"/>
      <c r="H1" s="33"/>
    </row>
    <row r="2" spans="1:8" x14ac:dyDescent="0.4">
      <c r="F2" s="8" t="s">
        <v>33</v>
      </c>
      <c r="G2" s="67">
        <f>見積書!G2</f>
        <v>0</v>
      </c>
      <c r="H2" s="67"/>
    </row>
    <row r="3" spans="1:8" ht="25.5" x14ac:dyDescent="0.4">
      <c r="A3" s="7" t="s">
        <v>27</v>
      </c>
      <c r="B3" s="35" t="str">
        <f>[1]顧客名簿!$B$3</f>
        <v>岩田　稔</v>
      </c>
      <c r="C3" s="35"/>
      <c r="D3" s="35"/>
      <c r="F3" s="33" t="s">
        <v>26</v>
      </c>
      <c r="G3" s="33"/>
      <c r="H3" s="33"/>
    </row>
    <row r="4" spans="1:8" ht="18.75" customHeight="1" x14ac:dyDescent="0.4">
      <c r="A4" s="36" t="s">
        <v>25</v>
      </c>
      <c r="B4" s="38" t="str">
        <f>[1]顧客名簿!$B$6</f>
        <v>山口県下関市長府安養寺</v>
      </c>
      <c r="C4" s="38"/>
      <c r="D4" s="38"/>
      <c r="F4" t="s">
        <v>24</v>
      </c>
    </row>
    <row r="5" spans="1:8" ht="18.75" customHeight="1" x14ac:dyDescent="0.4">
      <c r="A5" s="37"/>
      <c r="B5" s="39" t="str">
        <f>[1]顧客名簿!$B$7</f>
        <v>１丁目13-27</v>
      </c>
      <c r="C5" s="40"/>
      <c r="D5" s="40"/>
      <c r="F5" t="s">
        <v>23</v>
      </c>
    </row>
    <row r="6" spans="1:8" ht="19.5" x14ac:dyDescent="0.4">
      <c r="A6" s="6" t="s">
        <v>22</v>
      </c>
      <c r="B6" s="5" t="str">
        <f>[1]顧客名簿!$B$8</f>
        <v>080-6315-5625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3" t="str">
        <f>[1]顧客名簿!$D$4</f>
        <v>三菱EK</v>
      </c>
      <c r="C8" s="43"/>
      <c r="D8" s="43"/>
      <c r="F8" s="4" t="s">
        <v>18</v>
      </c>
      <c r="G8" s="4"/>
      <c r="H8" s="4"/>
    </row>
    <row r="9" spans="1:8" ht="18.75" customHeight="1" x14ac:dyDescent="0.4">
      <c r="A9" s="3" t="s">
        <v>17</v>
      </c>
      <c r="B9" s="44" t="str">
        <f>[1]顧客名簿!$D$7</f>
        <v>15409</v>
      </c>
      <c r="C9" s="43"/>
      <c r="D9" s="43"/>
      <c r="F9" s="45" t="s">
        <v>16</v>
      </c>
      <c r="G9" s="45"/>
      <c r="H9" s="45"/>
    </row>
    <row r="10" spans="1:8" ht="18.75" customHeight="1" x14ac:dyDescent="0.4">
      <c r="A10" s="3" t="s">
        <v>15</v>
      </c>
      <c r="B10" s="43" t="str">
        <f>[1]顧客名簿!$D$5</f>
        <v>下関580こ1533</v>
      </c>
      <c r="C10" s="43"/>
      <c r="D10" s="43"/>
      <c r="F10" s="45" t="s">
        <v>14</v>
      </c>
      <c r="G10" s="45"/>
      <c r="H10" s="45"/>
    </row>
    <row r="11" spans="1:8" ht="18.75" customHeight="1" x14ac:dyDescent="0.4">
      <c r="A11" s="3" t="s">
        <v>13</v>
      </c>
      <c r="B11" s="43" t="str">
        <f>[1]顧客名簿!$D$6</f>
        <v>H82W-1350882</v>
      </c>
      <c r="C11" s="43"/>
      <c r="D11" s="43"/>
      <c r="F11" s="45" t="s">
        <v>12</v>
      </c>
      <c r="G11" s="45"/>
      <c r="H11" s="45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11</v>
      </c>
      <c r="B13" s="46">
        <f>G38</f>
        <v>0</v>
      </c>
      <c r="C13" s="46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26" t="s">
        <v>6</v>
      </c>
      <c r="F15" s="29" t="s">
        <v>5</v>
      </c>
      <c r="G15" s="68" t="s">
        <v>4</v>
      </c>
      <c r="H15" s="48"/>
    </row>
    <row r="16" spans="1:8" x14ac:dyDescent="0.4">
      <c r="A16" s="16" t="str">
        <f>IF(見積書!A16="","",見積書!A16)</f>
        <v/>
      </c>
      <c r="B16" s="16" t="str">
        <f>IF(見積書!B16="","",見積書!B16)</f>
        <v/>
      </c>
      <c r="C16" s="22" t="str">
        <f>IF(見積書!C16="","",見積書!C16)</f>
        <v/>
      </c>
      <c r="D16" s="22" t="str">
        <f>IF(見積書!D16="","",見積書!D16)</f>
        <v/>
      </c>
      <c r="E16" s="27" t="str">
        <f>IF(見積書!E16="","",見積書!E16)</f>
        <v/>
      </c>
      <c r="F16" s="30" t="str">
        <f>IF(D16="","",C16*D16*E16)</f>
        <v/>
      </c>
      <c r="G16" s="41" t="str">
        <f>IF(D16="","",D16*C16)</f>
        <v/>
      </c>
      <c r="H16" s="42"/>
    </row>
    <row r="17" spans="1:8" x14ac:dyDescent="0.4">
      <c r="A17" s="16" t="str">
        <f>IF(見積書!A17="","",見積書!A17)</f>
        <v/>
      </c>
      <c r="B17" s="16" t="str">
        <f>IF(見積書!B17="","",見積書!B17)</f>
        <v/>
      </c>
      <c r="C17" s="22" t="str">
        <f>IF(見積書!C17="","",見積書!C17)</f>
        <v/>
      </c>
      <c r="D17" s="22" t="str">
        <f>IF(見積書!D17="","",見積書!D17)</f>
        <v/>
      </c>
      <c r="E17" s="27" t="str">
        <f>IF(見積書!E17="","",見積書!E17)</f>
        <v/>
      </c>
      <c r="F17" s="30" t="str">
        <f t="shared" ref="F17:F35" si="0">IF(D17="","",C17*D17*E17)</f>
        <v/>
      </c>
      <c r="G17" s="65" t="str">
        <f t="shared" ref="G17:G35" si="1">IF(D17="","",D17*C17)</f>
        <v/>
      </c>
      <c r="H17" s="42"/>
    </row>
    <row r="18" spans="1:8" x14ac:dyDescent="0.4">
      <c r="A18" s="16" t="str">
        <f>IF(見積書!A18="","",見積書!A18)</f>
        <v/>
      </c>
      <c r="B18" s="16" t="str">
        <f>IF(見積書!B18="","",見積書!B18)</f>
        <v/>
      </c>
      <c r="C18" s="22" t="str">
        <f>IF(見積書!C18="","",見積書!C18)</f>
        <v/>
      </c>
      <c r="D18" s="22" t="str">
        <f>IF(見積書!D18="","",見積書!D18)</f>
        <v/>
      </c>
      <c r="E18" s="27" t="str">
        <f>IF(見積書!E18="","",見積書!E18)</f>
        <v/>
      </c>
      <c r="F18" s="30" t="str">
        <f t="shared" si="0"/>
        <v/>
      </c>
      <c r="G18" s="65" t="str">
        <f t="shared" si="1"/>
        <v/>
      </c>
      <c r="H18" s="42"/>
    </row>
    <row r="19" spans="1:8" x14ac:dyDescent="0.4">
      <c r="A19" s="16" t="str">
        <f>IF(見積書!A19="","",見積書!A19)</f>
        <v/>
      </c>
      <c r="B19" s="16" t="str">
        <f>IF(見積書!B19="","",見積書!B19)</f>
        <v/>
      </c>
      <c r="C19" s="22" t="str">
        <f>IF(見積書!C19="","",見積書!C19)</f>
        <v/>
      </c>
      <c r="D19" s="22" t="str">
        <f>IF(見積書!D19="","",見積書!D19)</f>
        <v/>
      </c>
      <c r="E19" s="27" t="str">
        <f>IF(見積書!E19="","",見積書!E19)</f>
        <v/>
      </c>
      <c r="F19" s="30" t="str">
        <f t="shared" si="0"/>
        <v/>
      </c>
      <c r="G19" s="65" t="str">
        <f t="shared" si="1"/>
        <v/>
      </c>
      <c r="H19" s="42"/>
    </row>
    <row r="20" spans="1:8" x14ac:dyDescent="0.4">
      <c r="A20" s="16" t="str">
        <f>IF(見積書!A20="","",見積書!A20)</f>
        <v/>
      </c>
      <c r="B20" s="16" t="str">
        <f>IF(見積書!B20="","",見積書!B20)</f>
        <v/>
      </c>
      <c r="C20" s="22" t="str">
        <f>IF(見積書!C20="","",見積書!C20)</f>
        <v/>
      </c>
      <c r="D20" s="22" t="str">
        <f>IF(見積書!D20="","",見積書!D20)</f>
        <v/>
      </c>
      <c r="E20" s="27" t="str">
        <f>IF(見積書!E20="","",見積書!E20)</f>
        <v/>
      </c>
      <c r="F20" s="30" t="str">
        <f t="shared" si="0"/>
        <v/>
      </c>
      <c r="G20" s="65" t="str">
        <f t="shared" si="1"/>
        <v/>
      </c>
      <c r="H20" s="42"/>
    </row>
    <row r="21" spans="1:8" x14ac:dyDescent="0.4">
      <c r="A21" s="16" t="str">
        <f>IF(見積書!A21="","",見積書!A21)</f>
        <v/>
      </c>
      <c r="B21" s="16" t="str">
        <f>IF(見積書!B21="","",見積書!B21)</f>
        <v/>
      </c>
      <c r="C21" s="22" t="str">
        <f>IF(見積書!C21="","",見積書!C21)</f>
        <v/>
      </c>
      <c r="D21" s="22" t="str">
        <f>IF(見積書!D21="","",見積書!D21)</f>
        <v/>
      </c>
      <c r="E21" s="27" t="str">
        <f>IF(見積書!E21="","",見積書!E21)</f>
        <v/>
      </c>
      <c r="F21" s="30" t="str">
        <f t="shared" si="0"/>
        <v/>
      </c>
      <c r="G21" s="65" t="str">
        <f t="shared" si="1"/>
        <v/>
      </c>
      <c r="H21" s="42"/>
    </row>
    <row r="22" spans="1:8" x14ac:dyDescent="0.4">
      <c r="A22" s="16" t="str">
        <f>IF(見積書!A22="","",見積書!A22)</f>
        <v/>
      </c>
      <c r="B22" s="16" t="str">
        <f>IF(見積書!B22="","",見積書!B22)</f>
        <v/>
      </c>
      <c r="C22" s="22" t="str">
        <f>IF(見積書!C22="","",見積書!C22)</f>
        <v/>
      </c>
      <c r="D22" s="22" t="str">
        <f>IF(見積書!D22="","",見積書!D22)</f>
        <v/>
      </c>
      <c r="E22" s="27" t="str">
        <f>IF(見積書!E22="","",見積書!E22)</f>
        <v/>
      </c>
      <c r="F22" s="30" t="str">
        <f t="shared" si="0"/>
        <v/>
      </c>
      <c r="G22" s="65" t="str">
        <f t="shared" si="1"/>
        <v/>
      </c>
      <c r="H22" s="42"/>
    </row>
    <row r="23" spans="1:8" x14ac:dyDescent="0.4">
      <c r="A23" s="16" t="str">
        <f>IF(見積書!A23="","",見積書!A23)</f>
        <v/>
      </c>
      <c r="B23" s="16" t="str">
        <f>IF(見積書!B23="","",見積書!B23)</f>
        <v/>
      </c>
      <c r="C23" s="22" t="str">
        <f>IF(見積書!C23="","",見積書!C23)</f>
        <v/>
      </c>
      <c r="D23" s="22" t="str">
        <f>IF(見積書!D23="","",見積書!D23)</f>
        <v/>
      </c>
      <c r="E23" s="27" t="str">
        <f>IF(見積書!E23="","",見積書!E23)</f>
        <v/>
      </c>
      <c r="F23" s="30" t="str">
        <f t="shared" si="0"/>
        <v/>
      </c>
      <c r="G23" s="65" t="str">
        <f t="shared" si="1"/>
        <v/>
      </c>
      <c r="H23" s="42"/>
    </row>
    <row r="24" spans="1:8" x14ac:dyDescent="0.4">
      <c r="A24" s="16" t="str">
        <f>IF(見積書!A24="","",見積書!A24)</f>
        <v/>
      </c>
      <c r="B24" s="16" t="str">
        <f>IF(見積書!B24="","",見積書!B24)</f>
        <v/>
      </c>
      <c r="C24" s="22" t="str">
        <f>IF(見積書!C24="","",見積書!C24)</f>
        <v/>
      </c>
      <c r="D24" s="22" t="str">
        <f>IF(見積書!D24="","",見積書!D24)</f>
        <v/>
      </c>
      <c r="E24" s="27" t="str">
        <f>IF(見積書!E24="","",見積書!E24)</f>
        <v/>
      </c>
      <c r="F24" s="30" t="str">
        <f t="shared" si="0"/>
        <v/>
      </c>
      <c r="G24" s="65" t="str">
        <f t="shared" si="1"/>
        <v/>
      </c>
      <c r="H24" s="42"/>
    </row>
    <row r="25" spans="1:8" x14ac:dyDescent="0.4">
      <c r="A25" s="16" t="str">
        <f>IF(見積書!A25="","",見積書!A25)</f>
        <v/>
      </c>
      <c r="B25" s="16" t="str">
        <f>IF(見積書!B25="","",見積書!B25)</f>
        <v/>
      </c>
      <c r="C25" s="22" t="str">
        <f>IF(見積書!C25="","",見積書!C25)</f>
        <v/>
      </c>
      <c r="D25" s="22" t="str">
        <f>IF(見積書!D25="","",見積書!D25)</f>
        <v/>
      </c>
      <c r="E25" s="27" t="str">
        <f>IF(見積書!E25="","",見積書!E25)</f>
        <v/>
      </c>
      <c r="F25" s="30" t="str">
        <f t="shared" si="0"/>
        <v/>
      </c>
      <c r="G25" s="65" t="str">
        <f t="shared" si="1"/>
        <v/>
      </c>
      <c r="H25" s="42"/>
    </row>
    <row r="26" spans="1:8" x14ac:dyDescent="0.4">
      <c r="A26" s="16" t="str">
        <f>IF(見積書!A26="","",見積書!A26)</f>
        <v/>
      </c>
      <c r="B26" s="16" t="str">
        <f>IF(見積書!B26="","",見積書!B26)</f>
        <v/>
      </c>
      <c r="C26" s="22" t="str">
        <f>IF(見積書!C26="","",見積書!C26)</f>
        <v/>
      </c>
      <c r="D26" s="22" t="str">
        <f>IF(見積書!D26="","",見積書!D26)</f>
        <v/>
      </c>
      <c r="E26" s="27" t="str">
        <f>IF(見積書!E26="","",見積書!E26)</f>
        <v/>
      </c>
      <c r="F26" s="30" t="str">
        <f t="shared" si="0"/>
        <v/>
      </c>
      <c r="G26" s="65" t="str">
        <f t="shared" si="1"/>
        <v/>
      </c>
      <c r="H26" s="42"/>
    </row>
    <row r="27" spans="1:8" x14ac:dyDescent="0.4">
      <c r="A27" s="16" t="str">
        <f>IF(見積書!A27="","",見積書!A27)</f>
        <v/>
      </c>
      <c r="B27" s="16" t="str">
        <f>IF(見積書!B27="","",見積書!B27)</f>
        <v/>
      </c>
      <c r="C27" s="22" t="str">
        <f>IF(見積書!C27="","",見積書!C27)</f>
        <v/>
      </c>
      <c r="D27" s="22" t="str">
        <f>IF(見積書!D27="","",見積書!D27)</f>
        <v/>
      </c>
      <c r="E27" s="27" t="str">
        <f>IF(見積書!E27="","",見積書!E27)</f>
        <v/>
      </c>
      <c r="F27" s="30" t="str">
        <f t="shared" si="0"/>
        <v/>
      </c>
      <c r="G27" s="65" t="str">
        <f t="shared" si="1"/>
        <v/>
      </c>
      <c r="H27" s="42"/>
    </row>
    <row r="28" spans="1:8" x14ac:dyDescent="0.4">
      <c r="A28" s="16" t="str">
        <f>IF(見積書!A28="","",見積書!A28)</f>
        <v/>
      </c>
      <c r="B28" s="16" t="str">
        <f>IF(見積書!B28="","",見積書!B28)</f>
        <v/>
      </c>
      <c r="C28" s="22" t="str">
        <f>IF(見積書!C28="","",見積書!C28)</f>
        <v/>
      </c>
      <c r="D28" s="22" t="str">
        <f>IF(見積書!D28="","",見積書!D28)</f>
        <v/>
      </c>
      <c r="E28" s="27" t="str">
        <f>IF(見積書!E28="","",見積書!E28)</f>
        <v/>
      </c>
      <c r="F28" s="30" t="str">
        <f t="shared" si="0"/>
        <v/>
      </c>
      <c r="G28" s="65" t="str">
        <f t="shared" si="1"/>
        <v/>
      </c>
      <c r="H28" s="42"/>
    </row>
    <row r="29" spans="1:8" x14ac:dyDescent="0.4">
      <c r="A29" s="16" t="str">
        <f>IF(見積書!A29="","",見積書!A29)</f>
        <v/>
      </c>
      <c r="B29" s="16" t="str">
        <f>IF(見積書!B29="","",見積書!B29)</f>
        <v/>
      </c>
      <c r="C29" s="22" t="str">
        <f>IF(見積書!C29="","",見積書!C29)</f>
        <v/>
      </c>
      <c r="D29" s="22" t="str">
        <f>IF(見積書!D29="","",見積書!D29)</f>
        <v/>
      </c>
      <c r="E29" s="27" t="str">
        <f>IF(見積書!E29="","",見積書!E29)</f>
        <v/>
      </c>
      <c r="F29" s="30" t="str">
        <f t="shared" si="0"/>
        <v/>
      </c>
      <c r="G29" s="65" t="str">
        <f t="shared" si="1"/>
        <v/>
      </c>
      <c r="H29" s="42"/>
    </row>
    <row r="30" spans="1:8" x14ac:dyDescent="0.4">
      <c r="A30" s="16" t="str">
        <f>IF(見積書!A30="","",見積書!A30)</f>
        <v/>
      </c>
      <c r="B30" s="16" t="str">
        <f>IF(見積書!B30="","",見積書!B30)</f>
        <v/>
      </c>
      <c r="C30" s="22" t="str">
        <f>IF(見積書!C30="","",見積書!C30)</f>
        <v/>
      </c>
      <c r="D30" s="22" t="str">
        <f>IF(見積書!D30="","",見積書!D30)</f>
        <v/>
      </c>
      <c r="E30" s="27" t="str">
        <f>IF(見積書!E30="","",見積書!E30)</f>
        <v/>
      </c>
      <c r="F30" s="30" t="str">
        <f t="shared" si="0"/>
        <v/>
      </c>
      <c r="G30" s="65" t="str">
        <f t="shared" si="1"/>
        <v/>
      </c>
      <c r="H30" s="42"/>
    </row>
    <row r="31" spans="1:8" x14ac:dyDescent="0.4">
      <c r="A31" s="16" t="str">
        <f>IF(見積書!A31="","",見積書!A31)</f>
        <v/>
      </c>
      <c r="B31" s="16" t="str">
        <f>IF(見積書!B31="","",見積書!B31)</f>
        <v/>
      </c>
      <c r="C31" s="22" t="str">
        <f>IF(見積書!C31="","",見積書!C31)</f>
        <v/>
      </c>
      <c r="D31" s="22" t="str">
        <f>IF(見積書!D31="","",見積書!D31)</f>
        <v/>
      </c>
      <c r="E31" s="27" t="str">
        <f>IF(見積書!E31="","",見積書!E31)</f>
        <v/>
      </c>
      <c r="F31" s="30" t="str">
        <f t="shared" si="0"/>
        <v/>
      </c>
      <c r="G31" s="65" t="str">
        <f t="shared" si="1"/>
        <v/>
      </c>
      <c r="H31" s="42"/>
    </row>
    <row r="32" spans="1:8" x14ac:dyDescent="0.4">
      <c r="A32" s="16" t="str">
        <f>IF(見積書!A32="","",見積書!A32)</f>
        <v/>
      </c>
      <c r="B32" s="16" t="str">
        <f>IF(見積書!B32="","",見積書!B32)</f>
        <v/>
      </c>
      <c r="C32" s="22" t="str">
        <f>IF(見積書!C32="","",見積書!C32)</f>
        <v/>
      </c>
      <c r="D32" s="22" t="str">
        <f>IF(見積書!D32="","",見積書!D32)</f>
        <v/>
      </c>
      <c r="E32" s="27" t="str">
        <f>IF(見積書!E32="","",見積書!E32)</f>
        <v/>
      </c>
      <c r="F32" s="30" t="str">
        <f t="shared" si="0"/>
        <v/>
      </c>
      <c r="G32" s="65" t="str">
        <f t="shared" si="1"/>
        <v/>
      </c>
      <c r="H32" s="42"/>
    </row>
    <row r="33" spans="1:8" x14ac:dyDescent="0.4">
      <c r="A33" s="16" t="str">
        <f>IF(見積書!A33="","",見積書!A33)</f>
        <v/>
      </c>
      <c r="B33" s="16" t="str">
        <f>IF(見積書!B33="","",見積書!B33)</f>
        <v/>
      </c>
      <c r="C33" s="22" t="str">
        <f>IF(見積書!C33="","",見積書!C33)</f>
        <v/>
      </c>
      <c r="D33" s="22" t="str">
        <f>IF(見積書!D33="","",見積書!D33)</f>
        <v/>
      </c>
      <c r="E33" s="27" t="str">
        <f>IF(見積書!E33="","",見積書!E33)</f>
        <v/>
      </c>
      <c r="F33" s="30" t="str">
        <f t="shared" si="0"/>
        <v/>
      </c>
      <c r="G33" s="65" t="str">
        <f t="shared" si="1"/>
        <v/>
      </c>
      <c r="H33" s="42"/>
    </row>
    <row r="34" spans="1:8" x14ac:dyDescent="0.4">
      <c r="A34" s="16" t="str">
        <f>IF(見積書!A34="","",見積書!A34)</f>
        <v/>
      </c>
      <c r="B34" s="16" t="str">
        <f>IF(見積書!B34="","",見積書!B34)</f>
        <v/>
      </c>
      <c r="C34" s="22" t="str">
        <f>IF(見積書!C34="","",見積書!C34)</f>
        <v/>
      </c>
      <c r="D34" s="22" t="str">
        <f>IF(見積書!D34="","",見積書!D34)</f>
        <v/>
      </c>
      <c r="E34" s="27" t="str">
        <f>IF(見積書!E34="","",見積書!E34)</f>
        <v/>
      </c>
      <c r="F34" s="30" t="str">
        <f t="shared" si="0"/>
        <v/>
      </c>
      <c r="G34" s="65" t="str">
        <f t="shared" si="1"/>
        <v/>
      </c>
      <c r="H34" s="42"/>
    </row>
    <row r="35" spans="1:8" ht="19.5" thickBot="1" x14ac:dyDescent="0.45">
      <c r="A35" s="17" t="str">
        <f>IF(見積書!A35="","",見積書!A35)</f>
        <v/>
      </c>
      <c r="B35" s="17" t="str">
        <f>IF(見積書!B35="","",見積書!B35)</f>
        <v/>
      </c>
      <c r="C35" s="24" t="str">
        <f>IF(見積書!C35="","",見積書!C35)</f>
        <v/>
      </c>
      <c r="D35" s="25" t="str">
        <f>IF(見積書!D35="","",見積書!D35)</f>
        <v/>
      </c>
      <c r="E35" s="28" t="str">
        <f>IF(見積書!E35="","",見積書!E35)</f>
        <v/>
      </c>
      <c r="F35" s="31" t="str">
        <f t="shared" si="0"/>
        <v/>
      </c>
      <c r="G35" s="66" t="str">
        <f t="shared" si="1"/>
        <v/>
      </c>
      <c r="H35" s="58"/>
    </row>
    <row r="36" spans="1:8" ht="19.5" thickBot="1" x14ac:dyDescent="0.45">
      <c r="A36" s="19" t="s">
        <v>3</v>
      </c>
      <c r="E36" s="59" t="s">
        <v>2</v>
      </c>
      <c r="F36" s="60"/>
      <c r="G36" s="61">
        <f>SUM(G16:H35)</f>
        <v>0</v>
      </c>
      <c r="H36" s="62"/>
    </row>
    <row r="37" spans="1:8" ht="19.5" thickBot="1" x14ac:dyDescent="0.45">
      <c r="B37" s="19"/>
      <c r="C37" s="19"/>
      <c r="E37" s="49" t="s">
        <v>1</v>
      </c>
      <c r="F37" s="50"/>
      <c r="G37" s="51">
        <f>SUM(F16:F35)</f>
        <v>0</v>
      </c>
      <c r="H37" s="52"/>
    </row>
    <row r="38" spans="1:8" ht="19.5" thickBot="1" x14ac:dyDescent="0.45">
      <c r="E38" s="53" t="s">
        <v>0</v>
      </c>
      <c r="F38" s="54"/>
      <c r="G38" s="63">
        <f>SUM(G36:H37)</f>
        <v>0</v>
      </c>
      <c r="H38" s="64"/>
    </row>
  </sheetData>
  <mergeCells count="42">
    <mergeCell ref="A1:H1"/>
    <mergeCell ref="B3:D3"/>
    <mergeCell ref="G17:H17"/>
    <mergeCell ref="G18:H18"/>
    <mergeCell ref="G19:H19"/>
    <mergeCell ref="G2:H2"/>
    <mergeCell ref="F9:H9"/>
    <mergeCell ref="F10:H10"/>
    <mergeCell ref="F11:H11"/>
    <mergeCell ref="G16:H16"/>
    <mergeCell ref="F3:H3"/>
    <mergeCell ref="G15:H15"/>
    <mergeCell ref="G33:H33"/>
    <mergeCell ref="G34:H34"/>
    <mergeCell ref="G35:H35"/>
    <mergeCell ref="A4:A5"/>
    <mergeCell ref="G26:H26"/>
    <mergeCell ref="G27:H27"/>
    <mergeCell ref="G28:H28"/>
    <mergeCell ref="G29:H29"/>
    <mergeCell ref="B4:D4"/>
    <mergeCell ref="B5:D5"/>
    <mergeCell ref="B13:C13"/>
    <mergeCell ref="G22:H22"/>
    <mergeCell ref="G23:H23"/>
    <mergeCell ref="G20:H20"/>
    <mergeCell ref="G21:H21"/>
    <mergeCell ref="G24:H24"/>
    <mergeCell ref="G25:H25"/>
    <mergeCell ref="G30:H30"/>
    <mergeCell ref="G31:H31"/>
    <mergeCell ref="G32:H32"/>
    <mergeCell ref="B8:D8"/>
    <mergeCell ref="B9:D9"/>
    <mergeCell ref="B10:D10"/>
    <mergeCell ref="B11:D11"/>
    <mergeCell ref="E36:F36"/>
    <mergeCell ref="E37:F37"/>
    <mergeCell ref="E38:F38"/>
    <mergeCell ref="G36:H36"/>
    <mergeCell ref="G37:H37"/>
    <mergeCell ref="G38:H38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4C03-2706-4B01-B490-E1594E631F75}">
  <dimension ref="A1:L2"/>
  <sheetViews>
    <sheetView workbookViewId="0">
      <selection activeCell="C2" sqref="C2"/>
    </sheetView>
  </sheetViews>
  <sheetFormatPr defaultRowHeight="18.75" x14ac:dyDescent="0.4"/>
  <cols>
    <col min="1" max="1" width="13.5" bestFit="1" customWidth="1"/>
    <col min="2" max="2" width="13.625" customWidth="1"/>
    <col min="3" max="4" width="18.375" customWidth="1"/>
    <col min="5" max="5" width="14.75" bestFit="1" customWidth="1"/>
    <col min="6" max="6" width="25.125" bestFit="1" customWidth="1"/>
    <col min="7" max="8" width="16.25" customWidth="1"/>
    <col min="9" max="9" width="14.125" bestFit="1" customWidth="1"/>
    <col min="10" max="10" width="13.625" customWidth="1"/>
    <col min="11" max="11" width="12.75" bestFit="1" customWidth="1"/>
    <col min="12" max="12" width="12.125" customWidth="1"/>
  </cols>
  <sheetData>
    <row r="1" spans="1:12" s="11" customFormat="1" ht="18" x14ac:dyDescent="0.4">
      <c r="A1" s="9" t="s">
        <v>34</v>
      </c>
      <c r="B1" s="9" t="s">
        <v>35</v>
      </c>
      <c r="C1" s="9" t="s">
        <v>29</v>
      </c>
      <c r="D1" s="9" t="s">
        <v>30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  <c r="J1" s="10" t="s">
        <v>41</v>
      </c>
      <c r="K1" s="9" t="s">
        <v>42</v>
      </c>
      <c r="L1" s="9" t="s">
        <v>43</v>
      </c>
    </row>
    <row r="2" spans="1:12" x14ac:dyDescent="0.4">
      <c r="A2" s="20">
        <f>請求書!G2</f>
        <v>0</v>
      </c>
      <c r="B2" s="21" t="str">
        <f>請求書!B3</f>
        <v>岩田　稔</v>
      </c>
      <c r="C2" s="21" t="str">
        <f>請求書!B4</f>
        <v>山口県下関市長府安養寺</v>
      </c>
      <c r="D2" s="21" t="str">
        <f>請求書!B5</f>
        <v>１丁目13-27</v>
      </c>
      <c r="E2" s="21" t="str">
        <f>請求書!B6</f>
        <v>080-6315-5625</v>
      </c>
      <c r="F2" s="21" t="str">
        <f>請求書!B8</f>
        <v>三菱EK</v>
      </c>
      <c r="G2" s="21" t="str">
        <f>請求書!B9</f>
        <v>15409</v>
      </c>
      <c r="H2" s="21" t="str">
        <f>請求書!B10</f>
        <v>下関580こ1533</v>
      </c>
      <c r="I2" s="20" t="str">
        <f>請求書!B11</f>
        <v>H82W-1350882</v>
      </c>
      <c r="J2" s="23">
        <f>請求書!G36</f>
        <v>0</v>
      </c>
      <c r="K2" s="23">
        <f>請求書!G37</f>
        <v>0</v>
      </c>
      <c r="L2" s="23">
        <f>請求書!G38</f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見積書</vt:lpstr>
      <vt:lpstr>請求書</vt:lpstr>
      <vt:lpstr>売上集計用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dcterms:created xsi:type="dcterms:W3CDTF">2024-08-21T05:54:40Z</dcterms:created>
  <dcterms:modified xsi:type="dcterms:W3CDTF">2025-06-21T01:26:42Z</dcterms:modified>
</cp:coreProperties>
</file>