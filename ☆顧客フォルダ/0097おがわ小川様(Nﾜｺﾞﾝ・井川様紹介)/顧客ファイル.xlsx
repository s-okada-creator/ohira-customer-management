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7おがわ小川様(Nﾜｺﾞﾝ・井川様紹介)/"/>
    </mc:Choice>
  </mc:AlternateContent>
  <xr:revisionPtr revIDLastSave="62" documentId="13_ncr:1_{2162476F-CA24-49B5-8D7A-4B7C6B7A7835}" xr6:coauthVersionLast="47" xr6:coauthVersionMax="47" xr10:uidLastSave="{59FFADDF-A8D4-4B1B-9A5B-0F0A06DCE116}"/>
  <bookViews>
    <workbookView xWindow="390" yWindow="39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<sst xmlns="http://schemas.openxmlformats.org/spreadsheetml/2006/main" count="37" uniqueCount="37">
  <si>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</si>
  <si>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</si>
  <si>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</si>
  <si>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</si>
  <si>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</si>
  <si>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</si>
  <si>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</si>
  <si>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</si>
  <si>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</si>
  <si>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</si>
  <si>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</si>
  <si>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</si>
  <si>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</si>
  <si>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</si>
  <si>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</si>
  <si>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</si>
  <si>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</si>
  <si>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</si>
  <si>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</si>
  <si>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</si>
  <si>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</si>
  <si>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</si>
  <si>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</si>
  <si>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0097</t>
    <phoneticPr fontId="1"/>
  </si>
  <si>
    <t>ホンダNワゴン</t>
    <phoneticPr fontId="1"/>
  </si>
  <si>
    <t>下関580す4392</t>
    <rPh sb="0" eb="2">
      <t>シモノセキ</t>
    </rPh>
    <phoneticPr fontId="1"/>
  </si>
  <si>
    <t>JH1-1077153</t>
    <phoneticPr fontId="1"/>
  </si>
  <si>
    <t>17659</t>
    <phoneticPr fontId="1"/>
  </si>
  <si>
    <t>0001</t>
    <phoneticPr fontId="1"/>
  </si>
  <si>
    <t>H26.8</t>
    <phoneticPr fontId="1"/>
  </si>
  <si>
    <t>井川様</t>
    <rPh sb="0" eb="3">
      <t>イガワサマ</t>
    </rPh>
    <phoneticPr fontId="1"/>
  </si>
  <si>
    <t>大平英明</t>
    <rPh sb="0" eb="2">
      <t>オオヒラ</t>
    </rPh>
    <rPh sb="2" eb="4">
      <t>ヒデアキ</t>
    </rPh>
    <phoneticPr fontId="1"/>
  </si>
  <si>
    <t>751-0858</t>
    <phoneticPr fontId="1"/>
  </si>
  <si>
    <t>山口県下関市稗田町</t>
    <rPh sb="0" eb="9">
      <t>751-0858</t>
    </rPh>
    <phoneticPr fontId="1"/>
  </si>
  <si>
    <t>2番15-202号ｸﾞﾗﾝﾂ</t>
    <rPh sb="1" eb="2">
      <t>バン</t>
    </rPh>
    <rPh sb="8" eb="9">
      <t>ゴウ</t>
    </rPh>
    <phoneticPr fontId="1"/>
  </si>
  <si>
    <t>小川　千佳</t>
    <rPh sb="0" eb="2">
      <t>オガワ</t>
    </rPh>
    <rPh sb="3" eb="5">
      <t>チカ</t>
    </rPh>
    <phoneticPr fontId="1"/>
  </si>
  <si>
    <t>おがわちか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</si>
</sst>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35</v>
      </c>
      <c r="C3" s="12" t="s">
        <v>11</v>
      </c>
      <c r="D3" s="3"/>
    </row>
    <row r="4" spans="1:4" x14ac:dyDescent="0.4">
      <c r="A4" s="12" t="s">
        <v>2</v>
      </c>
      <c r="B4" s="8" t="s">
        <v>36</v>
      </c>
      <c r="C4" s="12" t="s">
        <v>18</v>
      </c>
      <c r="D4" s="3" t="s">
        <v>24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25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26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27</v>
      </c>
    </row>
    <row r="8" spans="1:4" x14ac:dyDescent="0.4">
      <c r="A8" s="12" t="s">
        <v>5</v>
      </c>
      <c r="B8" s="8"/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46629</v>
      </c>
    </row>
    <row r="11" spans="1:4" x14ac:dyDescent="0.4">
      <c r="A11" s="12" t="s">
        <v>8</v>
      </c>
      <c r="B11" s="10"/>
      <c r="C11" s="12" t="s">
        <v>13</v>
      </c>
      <c r="D11" s="24" t="s">
        <v>30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31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0097</v>
      </c>
      <c r="B2" t="str">
        <f>IF(顧客名簿!B3="","",顧客名簿!B3)</f>
        <v>小川　千佳</v>
      </c>
      <c r="C2" t="str">
        <f>IF(顧客名簿!B4="","",顧客名簿!B4)</f>
        <v>おがわちか</v>
      </c>
      <c r="D2" t="str">
        <f>IF(顧客名簿!B5="","",顧客名簿!B5)</f>
        <v>751-0858</v>
      </c>
      <c r="E2" t="str">
        <f>IF(顧客名簿!B6="","",顧客名簿!B6)</f>
        <v>山口県下関市稗田町</v>
      </c>
      <c r="F2" t="str">
        <f>IF(顧客名簿!B7="","",顧客名簿!B7)</f>
        <v>2番15-202号ｸﾞﾗﾝﾂ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ホンダNワゴン</v>
      </c>
      <c r="O2" t="str">
        <f>IF(顧客名簿!D5="","",顧客名簿!D5)</f>
        <v>下関580す4392</v>
      </c>
      <c r="P2" t="str">
        <f>IF(顧客名簿!D6="","",顧客名簿!D6)</f>
        <v>JH1-1077153</v>
      </c>
      <c r="Q2" t="str">
        <f>IF(顧客名簿!D7="","",顧客名簿!D7)</f>
        <v>17659</v>
      </c>
      <c r="R2" t="str">
        <f>IF(顧客名簿!D8="","",顧客名簿!D8)</f>
        <v>0001</v>
      </c>
      <c r="S2" t="str">
        <f>IF(顧客名簿!D9="","",顧客名簿!D9)</f>
        <v>H26.8</v>
      </c>
      <c r="T2" s="21">
        <f>IF(顧客名簿!D10="","",顧客名簿!D10)</f>
        <v>46629</v>
      </c>
      <c r="U2" s="20" t="str">
        <f>IF(顧客名簿!D11="","",顧客名簿!D11)</f>
        <v>井川様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2025-09-05T03:58:52Z</dcterms:modified>
</cp:coreProperties>
</file>